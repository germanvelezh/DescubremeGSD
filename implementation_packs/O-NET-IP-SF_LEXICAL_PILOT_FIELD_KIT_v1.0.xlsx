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uotas" sheetId="2" state="visible" r:id="rId4"/>
    <sheet name="Reclutamiento" sheetId="3" state="visible" r:id="rId5"/>
    <sheet name="Captura_plantilla" sheetId="4" state="visible" r:id="rId6"/>
    <sheet name="Codebook" sheetId="5" state="visible" r:id="rId7"/>
    <sheet name="Log_cambios" sheetId="6" state="visible" r:id="rId8"/>
    <sheet name="Metricas_item" sheetId="7" state="visible" r:id="rId9"/>
    <sheet name="Metricas_dimens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<sst xmlns="http://schemas.openxmlformats.org/spreadsheetml/2006/main" count="602" uniqueCount="300">
  <si>
    <t xml:space="preserve">Field Kit - Piloto Cognitivo Lexical es-CO - O*NET Interest Profiler Short Form</t>
  </si>
  <si>
    <t xml:space="preserve">Plantillas de trabajo. Version 1.0 - 2026-05-23. Acompana al documento .md del field kit.</t>
  </si>
  <si>
    <t xml:space="preserve">AVISO</t>
  </si>
  <si>
    <t xml:space="preserve">Este libro NO contiene datos. Son plantillas vacias para que un equipo humano ejecute el piloto. Las celdas con fondo amarillo se llenan en campo / analisis.</t>
  </si>
  <si>
    <t xml:space="preserve">Hoja Cuotas</t>
  </si>
  <si>
    <t xml:space="preserve">Matriz de cuotas estratificadas. Conteos automaticos contra la hoja Reclutamiento.</t>
  </si>
  <si>
    <t xml:space="preserve">Hoja Reclutamiento</t>
  </si>
  <si>
    <t xml:space="preserve">Una fila por contacto del screener. Clasificar ciudad y educacion con los valores exactos de las listas.</t>
  </si>
  <si>
    <t xml:space="preserve">Hoja Captura_plantilla</t>
  </si>
  <si>
    <t xml:space="preserve">Plantilla de captura por item (60 filas). DUPLICAR esta hoja una vez por participante; renombrar con el ID.</t>
  </si>
  <si>
    <t xml:space="preserve">Hoja Codebook</t>
  </si>
  <si>
    <t xml:space="preserve">Definiciones de codigos para los 2 codificadores. Hoja de referencia, no se llena.</t>
  </si>
  <si>
    <t xml:space="preserve">Hoja Log_cambios</t>
  </si>
  <si>
    <t xml:space="preserve">Log de cambios pack 8.4. Pre-cargado con las 24 propuestas a priori del desk review (Parte B).</t>
  </si>
  <si>
    <t xml:space="preserve">Hoja Metricas_item</t>
  </si>
  <si>
    <t xml:space="preserve">60 items. Metricas de comprension por item; se llenan tras codificar (plan de analisis A-8).</t>
  </si>
  <si>
    <t xml:space="preserve">Hoja Metricas_dimension</t>
  </si>
  <si>
    <t xml:space="preserve">6 dimensiones RIASEC. Alfa provisional y comprension media; se llenan tras el analisis.</t>
  </si>
  <si>
    <t xml:space="preserve">Quien llena que</t>
  </si>
  <si>
    <t xml:space="preserve">Reclutamiento: equipo de reclutamiento. Captura: facilitacion. Codigos: 2 codificadores. Metricas y Log post-piloto: analisis.</t>
  </si>
  <si>
    <t xml:space="preserve">No fabricar datos</t>
  </si>
  <si>
    <t xml:space="preserve">Las metricas (alfa, % comprension, tiempos) solo se llenan con datos reales de campo. Ver AVISO DE ALCANCE del .md.</t>
  </si>
  <si>
    <t xml:space="preserve">Matriz de cuotas estratificadas - meta de analisis N=36 (reclutar 40)</t>
  </si>
  <si>
    <t xml:space="preserve">Ciudad (grupo)</t>
  </si>
  <si>
    <t xml:space="preserve">Educacion</t>
  </si>
  <si>
    <t xml:space="preserve">Meta</t>
  </si>
  <si>
    <t xml:space="preserve">Reclutados (auto)</t>
  </si>
  <si>
    <t xml:space="preserve">Faltan (auto)</t>
  </si>
  <si>
    <t xml:space="preserve">Bogota</t>
  </si>
  <si>
    <t xml:space="preserve">Secundaria</t>
  </si>
  <si>
    <t xml:space="preserve">Tecnico-tecnologico</t>
  </si>
  <si>
    <t xml:space="preserve">Universitario</t>
  </si>
  <si>
    <t xml:space="preserve">Medellin / Cali</t>
  </si>
  <si>
    <t xml:space="preserve">Otras ciudades</t>
  </si>
  <si>
    <t xml:space="preserve">TOTAL</t>
  </si>
  <si>
    <t xml:space="preserve">Genero objetivo 50/50 y franjas de edad (18-25 / 26-40 / 41-55) se balancean dentro de las celdas; ver hoja Reclutamiento.</t>
  </si>
  <si>
    <t xml:space="preserve">Salida del screener - una fila por contacto</t>
  </si>
  <si>
    <t xml:space="preserve">ID</t>
  </si>
  <si>
    <t xml:space="preserve">Ciudad (texto libre)</t>
  </si>
  <si>
    <t xml:space="preserve">Genero</t>
  </si>
  <si>
    <t xml:space="preserve">Edad</t>
  </si>
  <si>
    <t xml:space="preserve">Apto think-aloud</t>
  </si>
  <si>
    <t xml:space="preserve">Elegible VIA</t>
  </si>
  <si>
    <t xml:space="preserve">Elegible NFR-27/28</t>
  </si>
  <si>
    <t xml:space="preserve">Estado</t>
  </si>
  <si>
    <t xml:space="preserve">Motivo exclusion</t>
  </si>
  <si>
    <t xml:space="preserve">Valores Ciudad (grupo): Bogota | Medellin / Cali | Otras ciudades.  Educacion: Secundaria | Tecnico-tecnologico | Universitario.  Estado: Reclutado | Lista de espera | Excluido.</t>
  </si>
  <si>
    <t xml:space="preserve">Hoja de captura por item - DUPLICAR una por participante</t>
  </si>
  <si>
    <t xml:space="preserve">ID participante</t>
  </si>
  <si>
    <t xml:space="preserve">Fecha</t>
  </si>
  <si>
    <t xml:space="preserve">Facilitador/a</t>
  </si>
  <si>
    <t xml:space="preserve">Codificador/a 1</t>
  </si>
  <si>
    <t xml:space="preserve">Codificador/a 2</t>
  </si>
  <si>
    <t xml:space="preserve">Ciudad / celda</t>
  </si>
  <si>
    <t xml:space="preserve">Version es-CO usada</t>
  </si>
  <si>
    <t xml:space="preserve">Subsets (NFR / VIA)</t>
  </si>
  <si>
    <t xml:space="preserve">item_id</t>
  </si>
  <si>
    <t xml:space="preserve">dim</t>
  </si>
  <si>
    <t xml:space="preserve">texto_presentado</t>
  </si>
  <si>
    <t xml:space="preserve">tiempo_resp_seg</t>
  </si>
  <si>
    <t xml:space="preserve">reformulo (si/no)</t>
  </si>
  <si>
    <t xml:space="preserve">pidio_aclaracion (si/no)</t>
  </si>
  <si>
    <t xml:space="preserve">senal_no_comprension (si/no)</t>
  </si>
  <si>
    <t xml:space="preserve">marca_ajeno (si/no)</t>
  </si>
  <si>
    <t xml:space="preserve">discrepancia (si/no)</t>
  </si>
  <si>
    <t xml:space="preserve">respuesta_escala (0-4)</t>
  </si>
  <si>
    <t xml:space="preserve">palabras_senal</t>
  </si>
  <si>
    <t xml:space="preserve">comentarios</t>
  </si>
  <si>
    <t xml:space="preserve">codigo_1</t>
  </si>
  <si>
    <t xml:space="preserve">codigo_2</t>
  </si>
  <si>
    <t xml:space="preserve">codigo_consenso</t>
  </si>
  <si>
    <t xml:space="preserve">R1</t>
  </si>
  <si>
    <t xml:space="preserve">R</t>
  </si>
  <si>
    <t xml:space="preserve">Construir gabinetes de cocina</t>
  </si>
  <si>
    <t xml:space="preserve">R2</t>
  </si>
  <si>
    <t xml:space="preserve">Colocar ladrillos o baldosas</t>
  </si>
  <si>
    <t xml:space="preserve">R3</t>
  </si>
  <si>
    <t xml:space="preserve">Reparar electrodomesticos</t>
  </si>
  <si>
    <t xml:space="preserve">R4</t>
  </si>
  <si>
    <t xml:space="preserve">Criar peces en un criadero</t>
  </si>
  <si>
    <t xml:space="preserve">R5</t>
  </si>
  <si>
    <t xml:space="preserve">Ensamblar partes electronicas</t>
  </si>
  <si>
    <t xml:space="preserve">R6</t>
  </si>
  <si>
    <t xml:space="preserve">Manejar un camion para entregar paquetes a oficinas y casas</t>
  </si>
  <si>
    <t xml:space="preserve">R7</t>
  </si>
  <si>
    <t xml:space="preserve">Probar la calidad de las piezas antes del envio</t>
  </si>
  <si>
    <t xml:space="preserve">R8</t>
  </si>
  <si>
    <t xml:space="preserve">Reparar e instalar cerraduras</t>
  </si>
  <si>
    <t xml:space="preserve">R9</t>
  </si>
  <si>
    <t xml:space="preserve">Poner a punto y operar maquinas para fabricar productos</t>
  </si>
  <si>
    <t xml:space="preserve">R10</t>
  </si>
  <si>
    <t xml:space="preserve">Apagar incendios forestales</t>
  </si>
  <si>
    <t xml:space="preserve">I1</t>
  </si>
  <si>
    <t xml:space="preserve">I</t>
  </si>
  <si>
    <t xml:space="preserve">Desarrollar un medicamento nuevo</t>
  </si>
  <si>
    <t xml:space="preserve">I2</t>
  </si>
  <si>
    <t xml:space="preserve">Estudiar formas de reducir la contaminacion del agua</t>
  </si>
  <si>
    <t xml:space="preserve">I3</t>
  </si>
  <si>
    <t xml:space="preserve">Realizar experimentos quimicos</t>
  </si>
  <si>
    <t xml:space="preserve">I4</t>
  </si>
  <si>
    <t xml:space="preserve">Estudiar el movimiento de los planetas</t>
  </si>
  <si>
    <t xml:space="preserve">I5</t>
  </si>
  <si>
    <t xml:space="preserve">Examinar muestras de sangre con un microscopio</t>
  </si>
  <si>
    <t xml:space="preserve">I6</t>
  </si>
  <si>
    <t xml:space="preserve">Investigar la causa de un incendio</t>
  </si>
  <si>
    <t xml:space="preserve">I7</t>
  </si>
  <si>
    <t xml:space="preserve">Desarrollar una forma de predecir mejor el clima</t>
  </si>
  <si>
    <t xml:space="preserve">I8</t>
  </si>
  <si>
    <t xml:space="preserve">Trabajar en un laboratorio de biologia</t>
  </si>
  <si>
    <t xml:space="preserve">I9</t>
  </si>
  <si>
    <t xml:space="preserve">Inventar un sustituto del azucar</t>
  </si>
  <si>
    <t xml:space="preserve">I10</t>
  </si>
  <si>
    <t xml:space="preserve">Hacer pruebas de laboratorio para identificar enfermedades</t>
  </si>
  <si>
    <t xml:space="preserve">A1</t>
  </si>
  <si>
    <t xml:space="preserve">A</t>
  </si>
  <si>
    <t xml:space="preserve">Escribir libros u obras de teatro</t>
  </si>
  <si>
    <t xml:space="preserve">A2</t>
  </si>
  <si>
    <t xml:space="preserve">Tocar un instrumento musical</t>
  </si>
  <si>
    <t xml:space="preserve">A3</t>
  </si>
  <si>
    <t xml:space="preserve">Componer o arreglar musica</t>
  </si>
  <si>
    <t xml:space="preserve">A4</t>
  </si>
  <si>
    <t xml:space="preserve">Dibujar</t>
  </si>
  <si>
    <t xml:space="preserve">A5</t>
  </si>
  <si>
    <t xml:space="preserve">Crear efectos especiales para peliculas</t>
  </si>
  <si>
    <t xml:space="preserve">A6</t>
  </si>
  <si>
    <t xml:space="preserve">Pintar escenografias para obras de teatro</t>
  </si>
  <si>
    <t xml:space="preserve">A7</t>
  </si>
  <si>
    <t xml:space="preserve">Escribir guiones para peliculas o programas de television</t>
  </si>
  <si>
    <t xml:space="preserve">A8</t>
  </si>
  <si>
    <t xml:space="preserve">Bailar jazz o tap</t>
  </si>
  <si>
    <t xml:space="preserve">A9</t>
  </si>
  <si>
    <t xml:space="preserve">Cantar en una banda</t>
  </si>
  <si>
    <t xml:space="preserve">A10</t>
  </si>
  <si>
    <t xml:space="preserve">Editar peliculas</t>
  </si>
  <si>
    <t xml:space="preserve">S1</t>
  </si>
  <si>
    <t xml:space="preserve">S</t>
  </si>
  <si>
    <t xml:space="preserve">Ensenarle a una persona una rutina de ejercicios</t>
  </si>
  <si>
    <t xml:space="preserve">S2</t>
  </si>
  <si>
    <t xml:space="preserve">Ayudar a personas con problemas personales o emocionales</t>
  </si>
  <si>
    <t xml:space="preserve">S3</t>
  </si>
  <si>
    <t xml:space="preserve">Orientar a las personas en su carrera profesional</t>
  </si>
  <si>
    <t xml:space="preserve">S4</t>
  </si>
  <si>
    <t xml:space="preserve">Realizar terapia de rehabilitacion</t>
  </si>
  <si>
    <t xml:space="preserve">S5</t>
  </si>
  <si>
    <t xml:space="preserve">Hacer trabajo voluntario en una organizacion sin animo de lucro</t>
  </si>
  <si>
    <t xml:space="preserve">S6</t>
  </si>
  <si>
    <t xml:space="preserve">Ensenarles a los ninos a practicar deportes</t>
  </si>
  <si>
    <t xml:space="preserve">S7</t>
  </si>
  <si>
    <t xml:space="preserve">Ensenar lengua de senas a personas sordas o con dificultades auditivas</t>
  </si>
  <si>
    <t xml:space="preserve">S8</t>
  </si>
  <si>
    <t xml:space="preserve">Ayudar a dirigir una sesion de terapia de grupo</t>
  </si>
  <si>
    <t xml:space="preserve">S9</t>
  </si>
  <si>
    <t xml:space="preserve">Cuidar ninos en una guarderia</t>
  </si>
  <si>
    <t xml:space="preserve">S10</t>
  </si>
  <si>
    <t xml:space="preserve">Dictar una clase en un colegio de secundaria</t>
  </si>
  <si>
    <t xml:space="preserve">E1</t>
  </si>
  <si>
    <t xml:space="preserve">E</t>
  </si>
  <si>
    <t xml:space="preserve">Comprar y vender acciones y bonos</t>
  </si>
  <si>
    <t xml:space="preserve">E2</t>
  </si>
  <si>
    <t xml:space="preserve">Administrar una tienda</t>
  </si>
  <si>
    <t xml:space="preserve">E3</t>
  </si>
  <si>
    <t xml:space="preserve">Administrar un salon de belleza o una barberia</t>
  </si>
  <si>
    <t xml:space="preserve">E4</t>
  </si>
  <si>
    <t xml:space="preserve">Dirigir un area o departamento de una empresa grande</t>
  </si>
  <si>
    <t xml:space="preserve">E5</t>
  </si>
  <si>
    <t xml:space="preserve">Iniciar tu propio negocio</t>
  </si>
  <si>
    <t xml:space="preserve">E6</t>
  </si>
  <si>
    <t xml:space="preserve">Negociar contratos comerciales</t>
  </si>
  <si>
    <t xml:space="preserve">E7</t>
  </si>
  <si>
    <t xml:space="preserve">Representar a un cliente en un juicio</t>
  </si>
  <si>
    <t xml:space="preserve">E8</t>
  </si>
  <si>
    <t xml:space="preserve">Promocionar una nueva linea de ropa</t>
  </si>
  <si>
    <t xml:space="preserve">E9</t>
  </si>
  <si>
    <t xml:space="preserve">Vender mercancia en un almacen por departamentos</t>
  </si>
  <si>
    <t xml:space="preserve">E10</t>
  </si>
  <si>
    <t xml:space="preserve">Administrar una tienda de ropa</t>
  </si>
  <si>
    <t xml:space="preserve">C1</t>
  </si>
  <si>
    <t xml:space="preserve">C</t>
  </si>
  <si>
    <t xml:space="preserve">Crear una hoja de calculo en un programa de computador</t>
  </si>
  <si>
    <t xml:space="preserve">C2</t>
  </si>
  <si>
    <t xml:space="preserve">Revisar y corregir registros o formularios</t>
  </si>
  <si>
    <t xml:space="preserve">C3</t>
  </si>
  <si>
    <t xml:space="preserve">Instalar software en los computadores de una red grande</t>
  </si>
  <si>
    <t xml:space="preserve">C4</t>
  </si>
  <si>
    <t xml:space="preserve">Usar una calculadora</t>
  </si>
  <si>
    <t xml:space="preserve">C5</t>
  </si>
  <si>
    <t xml:space="preserve">Llevar registros de despacho y recepcion de mercancia</t>
  </si>
  <si>
    <t xml:space="preserve">C6</t>
  </si>
  <si>
    <t xml:space="preserve">Calcular los salarios de los empleados</t>
  </si>
  <si>
    <t xml:space="preserve">C7</t>
  </si>
  <si>
    <t xml:space="preserve">Hacer inventario de suministros con un dispositivo portatil</t>
  </si>
  <si>
    <t xml:space="preserve">C8</t>
  </si>
  <si>
    <t xml:space="preserve">Registrar pagos de arriendo</t>
  </si>
  <si>
    <t xml:space="preserve">C9</t>
  </si>
  <si>
    <t xml:space="preserve">Llevar registros de inventario</t>
  </si>
  <si>
    <t xml:space="preserve">C10</t>
  </si>
  <si>
    <t xml:space="preserve">Sellar, clasificar y distribuir el correo de una organizacion</t>
  </si>
  <si>
    <t xml:space="preserve">texto_presentado: ajustar al texto es-CO realmente mostrado en pantalla (la version sembrada por CC). codigo: OK / AMB / LEX / CULT / NC (ver Codebook).</t>
  </si>
  <si>
    <t xml:space="preserve">Libro de codigos - codigo primario de comprension (excluyente)</t>
  </si>
  <si>
    <t xml:space="preserve">Codigo</t>
  </si>
  <si>
    <t xml:space="preserve">Etiqueta</t>
  </si>
  <si>
    <t xml:space="preserve">Definicion</t>
  </si>
  <si>
    <t xml:space="preserve">OK</t>
  </si>
  <si>
    <t xml:space="preserve">Comprension plena</t>
  </si>
  <si>
    <t xml:space="preserve">Reformula el item de forma equivalente al significado original, sin dudar ni pedir aclaracion.</t>
  </si>
  <si>
    <t xml:space="preserve">AMB</t>
  </si>
  <si>
    <t xml:space="preserve">Ambiguedad</t>
  </si>
  <si>
    <t xml:space="preserve">Entiende palabras sueltas pero reformula en un sentido distinto / mas estrecho o amplio; o duda entre dos interpretaciones.</t>
  </si>
  <si>
    <t xml:space="preserve">LEX</t>
  </si>
  <si>
    <t xml:space="preserve">Fallo lexical</t>
  </si>
  <si>
    <t xml:space="preserve">Una o mas palabras no se comprenden; pide aclaracion o declara desconocer el termino.</t>
  </si>
  <si>
    <t xml:space="preserve">CULT</t>
  </si>
  <si>
    <t xml:space="preserve">Distancia cultural</t>
  </si>
  <si>
    <t xml:space="preserve">Comprende el item pero lo marca como ajeno, extranjero, viejo o irreconocible en su contexto.</t>
  </si>
  <si>
    <t xml:space="preserve">NC</t>
  </si>
  <si>
    <t xml:space="preserve">No comprension total</t>
  </si>
  <si>
    <t xml:space="preserve">No logra reconstruir el significado ni tras una sonda neutra.</t>
  </si>
  <si>
    <t xml:space="preserve">Marcas secundarias (no excluyentes)</t>
  </si>
  <si>
    <t xml:space="preserve">m_reformulo</t>
  </si>
  <si>
    <t xml:space="preserve">Hubo reformulacion espontanea.</t>
  </si>
  <si>
    <t xml:space="preserve">m_discrepancia</t>
  </si>
  <si>
    <t xml:space="preserve">La respuesta en escala contradice lo verbalizado.</t>
  </si>
  <si>
    <t xml:space="preserve">m_tiempo</t>
  </si>
  <si>
    <t xml:space="preserve">Tiempo de respuesta atipico (&gt; 2 SD del item); se completa tras el analisis.</t>
  </si>
  <si>
    <t xml:space="preserve">m_propone_alt</t>
  </si>
  <si>
    <t xml:space="preserve">El participante propuso una palabra o frase alternativa concreta.</t>
  </si>
  <si>
    <t xml:space="preserve">Acuerdo inter-codificador</t>
  </si>
  <si>
    <t xml:space="preserve">Kappa de Cohen sobre el codigo primario. Objetivo: kappa &gt;= 0,70 aceptable; &gt;= 0,80 bueno. Si &lt; 0,70: revisar codebook, recalibrar y recodificar.</t>
  </si>
  <si>
    <t xml:space="preserve">Log de cambios (pack 8.4 punto 2) - pre-cargado con 24 propuestas a priori (consenso experto)</t>
  </si>
  <si>
    <t xml:space="preserve">texto_mi_proximo_paso (verificar via API)</t>
  </si>
  <si>
    <t xml:space="preserve">texto_es_co_propuesto_a_priori</t>
  </si>
  <si>
    <t xml:space="preserve">texto_es_co_post_piloto</t>
  </si>
  <si>
    <t xml:space="preserve">tipo_cambio</t>
  </si>
  <si>
    <t xml:space="preserve">justificacion</t>
  </si>
  <si>
    <t xml:space="preserve">fuente</t>
  </si>
  <si>
    <t xml:space="preserve">metrica_disparadora</t>
  </si>
  <si>
    <t xml:space="preserve">decision (aplicar/observar/escalar)</t>
  </si>
  <si>
    <t xml:space="preserve">Criar peces en una piscifactoria</t>
  </si>
  <si>
    <t xml:space="preserve">lexical</t>
  </si>
  <si>
    <t xml:space="preserve">consenso experto</t>
  </si>
  <si>
    <t xml:space="preserve">Conducir un camion para repartir paquetes a oficinas y casas</t>
  </si>
  <si>
    <t xml:space="preserve">lexical / registro</t>
  </si>
  <si>
    <t xml:space="preserve">Configurar y operar maquinas para hacer productos</t>
  </si>
  <si>
    <t xml:space="preserve">Desarrollar una medicina nueva</t>
  </si>
  <si>
    <t xml:space="preserve">lexical (desambiguacion)</t>
  </si>
  <si>
    <t xml:space="preserve">Inventar un reemplazo para el azucar</t>
  </si>
  <si>
    <t xml:space="preserve">registro</t>
  </si>
  <si>
    <t xml:space="preserve">Pintar decorados para obras de teatro</t>
  </si>
  <si>
    <t xml:space="preserve">Bailar jazz o claque</t>
  </si>
  <si>
    <t xml:space="preserve">lexical (termino de Espana)</t>
  </si>
  <si>
    <t xml:space="preserve">Dar consejeria de carrera a las personas</t>
  </si>
  <si>
    <t xml:space="preserve">lexical (calco)</t>
  </si>
  <si>
    <t xml:space="preserve">Hacer trabajo voluntario en una organizacion sin fines de lucro</t>
  </si>
  <si>
    <t xml:space="preserve">lexical (variante regional)</t>
  </si>
  <si>
    <t xml:space="preserve">Dar una clase de escuela secundaria</t>
  </si>
  <si>
    <t xml:space="preserve">Administrar una tienda minorista</t>
  </si>
  <si>
    <t xml:space="preserve">Administrar un salon de belleza o una peluqueria</t>
  </si>
  <si>
    <t xml:space="preserve">lexical (precision)</t>
  </si>
  <si>
    <t xml:space="preserve">Administrar un departamento dentro de una empresa grande</t>
  </si>
  <si>
    <t xml:space="preserve">Negociar contratos de negocios</t>
  </si>
  <si>
    <t xml:space="preserve">registro (menor)</t>
  </si>
  <si>
    <t xml:space="preserve">Representar a un cliente en un pleito</t>
  </si>
  <si>
    <t xml:space="preserve">lexical (tecnicismo)</t>
  </si>
  <si>
    <t xml:space="preserve">Mercadear una nueva linea de ropa</t>
  </si>
  <si>
    <t xml:space="preserve">Vender mercancia en una tienda por departamentos</t>
  </si>
  <si>
    <t xml:space="preserve">Crear una hoja de calculo usando un programa de computadora</t>
  </si>
  <si>
    <t xml:space="preserve">Corregir registros o formularios</t>
  </si>
  <si>
    <t xml:space="preserve">desambiguacion</t>
  </si>
  <si>
    <t xml:space="preserve">Instalar software en las computadoras de una red grande</t>
  </si>
  <si>
    <t xml:space="preserve">Llevar registros de envios y recepciones</t>
  </si>
  <si>
    <t xml:space="preserve">Calcular los sueldos de los empleados</t>
  </si>
  <si>
    <t xml:space="preserve">Inventariar suministros usando una computadora de mano</t>
  </si>
  <si>
    <t xml:space="preserve">lexical (modernizacion)</t>
  </si>
  <si>
    <t xml:space="preserve">Registrar pagos de renta</t>
  </si>
  <si>
    <t xml:space="preserve">Columnas amarillas: completar tras el piloto. 'texto_mi_proximo_paso' es inferido; verificar el texto real via API O*NET antes del campo. Items solo de observacion (R10, I4, S9, E1) NO entran al log: no se propone cambio.</t>
  </si>
  <si>
    <t xml:space="preserve">Metricas de comprension por item - llenar tras codificar (plan de analisis A-8)</t>
  </si>
  <si>
    <t xml:space="preserve">n_validos</t>
  </si>
  <si>
    <t xml:space="preserve">% comprension plena</t>
  </si>
  <si>
    <t xml:space="preserve">% no comprension</t>
  </si>
  <si>
    <t xml:space="preserve">% reformulacion</t>
  </si>
  <si>
    <t xml:space="preserve">% distancia cultural</t>
  </si>
  <si>
    <t xml:space="preserve">% discrepancia</t>
  </si>
  <si>
    <t xml:space="preserve">mediana_tiempo_seg</t>
  </si>
  <si>
    <t xml:space="preserve">% tiempo atipico</t>
  </si>
  <si>
    <t xml:space="preserve">decision</t>
  </si>
  <si>
    <t xml:space="preserve">Criterios pack 8.3: % no comprension &gt; 20% -&gt; re-adaptar; % reformulacion &gt; 30% -&gt; re-adaptar; % distancia cultural &gt; 25% -&gt; re-adaptar; % discrepancia &gt; 20% -&gt; re-adaptar.</t>
  </si>
  <si>
    <t xml:space="preserve">Metricas por dimension RIASEC - alfa PROVISIONAL (N pequeno, IC amplio)</t>
  </si>
  <si>
    <t xml:space="preserve">dimension</t>
  </si>
  <si>
    <t xml:space="preserve">n_items</t>
  </si>
  <si>
    <t xml:space="preserve">alpha</t>
  </si>
  <si>
    <t xml:space="preserve">alpha IC95 inf</t>
  </si>
  <si>
    <t xml:space="preserve">alpha IC95 sup</t>
  </si>
  <si>
    <t xml:space="preserve">% comprension media</t>
  </si>
  <si>
    <t xml:space="preserve">Realistic (R)</t>
  </si>
  <si>
    <t xml:space="preserve">Investigative (I)</t>
  </si>
  <si>
    <t xml:space="preserve">Artistic (A)</t>
  </si>
  <si>
    <t xml:space="preserve">Social (S)</t>
  </si>
  <si>
    <t xml:space="preserve">Enterprising (E)</t>
  </si>
  <si>
    <t xml:space="preserve">Conventional (C)</t>
  </si>
  <si>
    <t xml:space="preserve">El alfa del piloto cognitivo es provisional y no decide nada irreversible. Referencia: alfa &gt;= 0,70 deseable. La confiabilidad se confirma en la fase 2 (n=150-300).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</si>
</sst>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  <row r="13" customFormat="false" ht="42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22</v>
      </c>
    </row>
    <row r="3" customFormat="false" ht="30" hidden="false" customHeight="tru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</row>
    <row r="4" customFormat="false" ht="15" hidden="false" customHeight="false" outlineLevel="0" collapsed="false">
      <c r="A4" s="4" t="s">
        <v>28</v>
      </c>
      <c r="B4" s="4" t="s">
        <v>29</v>
      </c>
      <c r="C4" s="3" t="n">
        <v>6</v>
      </c>
      <c r="D4" s="4" t="n">
        <f aca="false">COUNTIFS(Reclutamiento!C:C,A4,Reclutamiento!D:D,B4,Reclutamiento!J:J,"Reclutado")</f>
        <v>0</v>
      </c>
      <c r="E4" s="4" t="n">
        <f aca="false">C4-D4</f>
        <v>6</v>
      </c>
    </row>
    <row r="5" customFormat="false" ht="15" hidden="false" customHeight="false" outlineLevel="0" collapsed="false">
      <c r="A5" s="4" t="s">
        <v>28</v>
      </c>
      <c r="B5" s="4" t="s">
        <v>30</v>
      </c>
      <c r="C5" s="3" t="n">
        <v>6</v>
      </c>
      <c r="D5" s="4" t="n">
        <f aca="false">COUNTIFS(Reclutamiento!C:C,A5,Reclutamiento!D:D,B5,Reclutamiento!J:J,"Reclutado")</f>
        <v>0</v>
      </c>
      <c r="E5" s="4" t="n">
        <f aca="false">C5-D5</f>
        <v>6</v>
      </c>
    </row>
    <row r="6" customFormat="false" ht="15" hidden="false" customHeight="false" outlineLevel="0" collapsed="false">
      <c r="A6" s="4" t="s">
        <v>28</v>
      </c>
      <c r="B6" s="4" t="s">
        <v>31</v>
      </c>
      <c r="C6" s="3" t="n">
        <v>6</v>
      </c>
      <c r="D6" s="4" t="n">
        <f aca="false">COUNTIFS(Reclutamiento!C:C,A6,Reclutamiento!D:D,B6,Reclutamiento!J:J,"Reclutado")</f>
        <v>0</v>
      </c>
      <c r="E6" s="4" t="n">
        <f aca="false">C6-D6</f>
        <v>6</v>
      </c>
    </row>
    <row r="7" customFormat="false" ht="15" hidden="false" customHeight="false" outlineLevel="0" collapsed="false">
      <c r="A7" s="4" t="s">
        <v>32</v>
      </c>
      <c r="B7" s="4" t="s">
        <v>29</v>
      </c>
      <c r="C7" s="3" t="n">
        <v>3</v>
      </c>
      <c r="D7" s="4" t="n">
        <f aca="false">COUNTIFS(Reclutamiento!C:C,A7,Reclutamiento!D:D,B7,Reclutamiento!J:J,"Reclutado")</f>
        <v>0</v>
      </c>
      <c r="E7" s="4" t="n">
        <f aca="false">C7-D7</f>
        <v>3</v>
      </c>
    </row>
    <row r="8" customFormat="false" ht="15" hidden="false" customHeight="false" outlineLevel="0" collapsed="false">
      <c r="A8" s="4" t="s">
        <v>32</v>
      </c>
      <c r="B8" s="4" t="s">
        <v>30</v>
      </c>
      <c r="C8" s="3" t="n">
        <v>3</v>
      </c>
      <c r="D8" s="4" t="n">
        <f aca="false">COUNTIFS(Reclutamiento!C:C,A8,Reclutamiento!D:D,B8,Reclutamiento!J:J,"Reclutado")</f>
        <v>0</v>
      </c>
      <c r="E8" s="4" t="n">
        <f aca="false">C8-D8</f>
        <v>3</v>
      </c>
    </row>
    <row r="9" customFormat="false" ht="15" hidden="false" customHeight="false" outlineLevel="0" collapsed="false">
      <c r="A9" s="4" t="s">
        <v>32</v>
      </c>
      <c r="B9" s="4" t="s">
        <v>31</v>
      </c>
      <c r="C9" s="3" t="n">
        <v>3</v>
      </c>
      <c r="D9" s="4" t="n">
        <f aca="false">COUNTIFS(Reclutamiento!C:C,A9,Reclutamiento!D:D,B9,Reclutamiento!J:J,"Reclutado")</f>
        <v>0</v>
      </c>
      <c r="E9" s="4" t="n">
        <f aca="false">C9-D9</f>
        <v>3</v>
      </c>
    </row>
    <row r="10" customFormat="false" ht="15" hidden="false" customHeight="false" outlineLevel="0" collapsed="false">
      <c r="A10" s="4" t="s">
        <v>33</v>
      </c>
      <c r="B10" s="4" t="s">
        <v>29</v>
      </c>
      <c r="C10" s="3" t="n">
        <v>3</v>
      </c>
      <c r="D10" s="4" t="n">
        <f aca="false">COUNTIFS(Reclutamiento!C:C,A10,Reclutamiento!D:D,B10,Reclutamiento!J:J,"Reclutado")</f>
        <v>0</v>
      </c>
      <c r="E10" s="4" t="n">
        <f aca="false">C10-D10</f>
        <v>3</v>
      </c>
    </row>
    <row r="11" customFormat="false" ht="15" hidden="false" customHeight="false" outlineLevel="0" collapsed="false">
      <c r="A11" s="4" t="s">
        <v>33</v>
      </c>
      <c r="B11" s="4" t="s">
        <v>30</v>
      </c>
      <c r="C11" s="3" t="n">
        <v>3</v>
      </c>
      <c r="D11" s="4" t="n">
        <f aca="false">COUNTIFS(Reclutamiento!C:C,A11,Reclutamiento!D:D,B11,Reclutamiento!J:J,"Reclutado")</f>
        <v>0</v>
      </c>
      <c r="E11" s="4" t="n">
        <f aca="false">C11-D11</f>
        <v>3</v>
      </c>
    </row>
    <row r="12" customFormat="false" ht="15" hidden="false" customHeight="false" outlineLevel="0" collapsed="false">
      <c r="A12" s="4" t="s">
        <v>33</v>
      </c>
      <c r="B12" s="4" t="s">
        <v>31</v>
      </c>
      <c r="C12" s="3" t="n">
        <v>3</v>
      </c>
      <c r="D12" s="4" t="n">
        <f aca="false">COUNTIFS(Reclutamiento!C:C,A12,Reclutamiento!D:D,B12,Reclutamiento!J:J,"Reclutado")</f>
        <v>0</v>
      </c>
      <c r="E12" s="4" t="n">
        <f aca="false">C12-D12</f>
        <v>3</v>
      </c>
    </row>
    <row r="13" customFormat="false" ht="15" hidden="false" customHeight="false" outlineLevel="0" collapsed="false">
      <c r="A13" s="7" t="s">
        <v>34</v>
      </c>
      <c r="B13" s="7"/>
      <c r="C13" s="7" t="n">
        <f aca="false">SUM(C4:C12)</f>
        <v>36</v>
      </c>
      <c r="D13" s="7" t="n">
        <f aca="false">SUM(D4:D12)</f>
        <v>0</v>
      </c>
      <c r="E13" s="7" t="n">
        <f aca="false">SUM(E4:E12)</f>
        <v>36</v>
      </c>
    </row>
    <row r="15" customFormat="false" ht="15" hidden="false" customHeight="false" outlineLevel="0" collapsed="false">
      <c r="A15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5" t="s">
        <v>36</v>
      </c>
    </row>
    <row r="3" customFormat="false" ht="30" hidden="false" customHeight="true" outlineLevel="0" collapsed="false">
      <c r="A3" s="6" t="s">
        <v>37</v>
      </c>
      <c r="B3" s="6" t="s">
        <v>38</v>
      </c>
      <c r="C3" s="6" t="s">
        <v>23</v>
      </c>
      <c r="D3" s="6" t="s">
        <v>24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44</v>
      </c>
      <c r="K3" s="6" t="s">
        <v>45</v>
      </c>
    </row>
    <row r="4" customFormat="false" ht="15.7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15.7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.7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.7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15.7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.7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customFormat="false" ht="15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.7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.7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.7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.7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.7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.7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.7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.7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.7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.7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.7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9" customFormat="false" ht="15" hidden="false" customHeight="false" outlineLevel="0" collapsed="false">
      <c r="A49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30"/>
    <col collapsed="false" customWidth="true" hidden="false" outlineLevel="0" max="14" min="13" style="0" width="11"/>
    <col collapsed="false" customWidth="true" hidden="false" outlineLevel="0" max="15" min="15" style="0" width="15"/>
  </cols>
  <sheetData>
    <row r="1" customFormat="false" ht="15" hidden="false" customHeight="false" outlineLevel="0" collapsed="false">
      <c r="A1" s="5" t="s">
        <v>47</v>
      </c>
    </row>
    <row r="2" customFormat="false" ht="35.05" hidden="false" customHeight="false" outlineLevel="0" collapsed="false">
      <c r="A2" s="3" t="s">
        <v>48</v>
      </c>
      <c r="B2" s="9"/>
      <c r="D2" s="3" t="s">
        <v>49</v>
      </c>
      <c r="E2" s="9"/>
    </row>
    <row r="3" customFormat="false" ht="23.85" hidden="false" customHeight="false" outlineLevel="0" collapsed="false">
      <c r="A3" s="3" t="s">
        <v>50</v>
      </c>
      <c r="B3" s="9"/>
      <c r="D3" s="3" t="s">
        <v>51</v>
      </c>
      <c r="E3" s="9"/>
    </row>
    <row r="4" customFormat="false" ht="23.85" hidden="false" customHeight="false" outlineLevel="0" collapsed="false">
      <c r="A4" s="3" t="s">
        <v>52</v>
      </c>
      <c r="B4" s="9"/>
      <c r="D4" s="3" t="s">
        <v>53</v>
      </c>
      <c r="E4" s="9"/>
    </row>
    <row r="5" customFormat="false" ht="23.85" hidden="false" customHeight="false" outlineLevel="0" collapsed="false">
      <c r="A5" s="3" t="s">
        <v>24</v>
      </c>
      <c r="B5" s="9"/>
      <c r="D5" s="3" t="s">
        <v>39</v>
      </c>
      <c r="E5" s="9"/>
    </row>
    <row r="6" customFormat="false" ht="23.85" hidden="false" customHeight="false" outlineLevel="0" collapsed="false">
      <c r="A6" s="3" t="s">
        <v>40</v>
      </c>
      <c r="B6" s="9"/>
      <c r="D6" s="3" t="s">
        <v>54</v>
      </c>
      <c r="E6" s="9"/>
    </row>
    <row r="7" customFormat="false" ht="35.05" hidden="false" customHeight="false" outlineLevel="0" collapsed="false">
      <c r="A7" s="3" t="s">
        <v>55</v>
      </c>
      <c r="B7" s="9"/>
    </row>
    <row r="8" customFormat="false" ht="30" hidden="false" customHeight="true" outlineLevel="0" collapsed="false">
      <c r="A8" s="6" t="s">
        <v>56</v>
      </c>
      <c r="B8" s="6" t="s">
        <v>57</v>
      </c>
      <c r="C8" s="6" t="s">
        <v>58</v>
      </c>
      <c r="D8" s="6" t="s">
        <v>59</v>
      </c>
      <c r="E8" s="6" t="s">
        <v>60</v>
      </c>
      <c r="F8" s="6" t="s">
        <v>61</v>
      </c>
      <c r="G8" s="6" t="s">
        <v>62</v>
      </c>
      <c r="H8" s="6" t="s">
        <v>63</v>
      </c>
      <c r="I8" s="6" t="s">
        <v>64</v>
      </c>
      <c r="J8" s="6" t="s">
        <v>65</v>
      </c>
      <c r="K8" s="6" t="s">
        <v>66</v>
      </c>
      <c r="L8" s="6" t="s">
        <v>67</v>
      </c>
      <c r="M8" s="6" t="s">
        <v>68</v>
      </c>
      <c r="N8" s="6" t="s">
        <v>69</v>
      </c>
      <c r="O8" s="6" t="s">
        <v>70</v>
      </c>
    </row>
    <row r="9" customFormat="false" ht="15" hidden="false" customHeight="false" outlineLevel="0" collapsed="false">
      <c r="A9" s="3" t="s">
        <v>71</v>
      </c>
      <c r="B9" s="4" t="s">
        <v>72</v>
      </c>
      <c r="C9" s="4" t="s">
        <v>73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false" outlineLevel="0" collapsed="false">
      <c r="A10" s="3" t="s">
        <v>74</v>
      </c>
      <c r="B10" s="4" t="s">
        <v>72</v>
      </c>
      <c r="C10" s="4" t="s">
        <v>75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false" outlineLevel="0" collapsed="false">
      <c r="A11" s="3" t="s">
        <v>76</v>
      </c>
      <c r="B11" s="4" t="s">
        <v>72</v>
      </c>
      <c r="C11" s="4" t="s">
        <v>77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false" outlineLevel="0" collapsed="false">
      <c r="A12" s="3" t="s">
        <v>78</v>
      </c>
      <c r="B12" s="4" t="s">
        <v>72</v>
      </c>
      <c r="C12" s="4" t="s">
        <v>79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false" outlineLevel="0" collapsed="false">
      <c r="A13" s="3" t="s">
        <v>80</v>
      </c>
      <c r="B13" s="4" t="s">
        <v>72</v>
      </c>
      <c r="C13" s="4" t="s">
        <v>81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3.85" hidden="false" customHeight="false" outlineLevel="0" collapsed="false">
      <c r="A14" s="3" t="s">
        <v>82</v>
      </c>
      <c r="B14" s="4" t="s">
        <v>72</v>
      </c>
      <c r="C14" s="4" t="s">
        <v>83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false" outlineLevel="0" collapsed="false">
      <c r="A15" s="3" t="s">
        <v>84</v>
      </c>
      <c r="B15" s="4" t="s">
        <v>72</v>
      </c>
      <c r="C15" s="4" t="s">
        <v>85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false" outlineLevel="0" collapsed="false">
      <c r="A16" s="3" t="s">
        <v>86</v>
      </c>
      <c r="B16" s="4" t="s">
        <v>72</v>
      </c>
      <c r="C16" s="4" t="s">
        <v>87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3.85" hidden="false" customHeight="false" outlineLevel="0" collapsed="false">
      <c r="A17" s="3" t="s">
        <v>88</v>
      </c>
      <c r="B17" s="4" t="s">
        <v>72</v>
      </c>
      <c r="C17" s="4" t="s">
        <v>89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false" outlineLevel="0" collapsed="false">
      <c r="A18" s="3" t="s">
        <v>90</v>
      </c>
      <c r="B18" s="4" t="s">
        <v>72</v>
      </c>
      <c r="C18" s="4" t="s">
        <v>91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false" outlineLevel="0" collapsed="false">
      <c r="A19" s="3" t="s">
        <v>92</v>
      </c>
      <c r="B19" s="4" t="s">
        <v>93</v>
      </c>
      <c r="C19" s="4" t="s">
        <v>94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3.85" hidden="false" customHeight="false" outlineLevel="0" collapsed="false">
      <c r="A20" s="3" t="s">
        <v>95</v>
      </c>
      <c r="B20" s="4" t="s">
        <v>93</v>
      </c>
      <c r="C20" s="4" t="s">
        <v>96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false" outlineLevel="0" collapsed="false">
      <c r="A21" s="3" t="s">
        <v>97</v>
      </c>
      <c r="B21" s="4" t="s">
        <v>93</v>
      </c>
      <c r="C21" s="4" t="s">
        <v>98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false" outlineLevel="0" collapsed="false">
      <c r="A22" s="3" t="s">
        <v>99</v>
      </c>
      <c r="B22" s="4" t="s">
        <v>93</v>
      </c>
      <c r="C22" s="4" t="s">
        <v>100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false" outlineLevel="0" collapsed="false">
      <c r="A23" s="3" t="s">
        <v>101</v>
      </c>
      <c r="B23" s="4" t="s">
        <v>93</v>
      </c>
      <c r="C23" s="4" t="s">
        <v>102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false" outlineLevel="0" collapsed="false">
      <c r="A24" s="3" t="s">
        <v>103</v>
      </c>
      <c r="B24" s="4" t="s">
        <v>93</v>
      </c>
      <c r="C24" s="4" t="s">
        <v>104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3" t="s">
        <v>105</v>
      </c>
      <c r="B25" s="4" t="s">
        <v>93</v>
      </c>
      <c r="C25" s="4" t="s">
        <v>106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15" hidden="false" customHeight="false" outlineLevel="0" collapsed="false">
      <c r="A26" s="3" t="s">
        <v>107</v>
      </c>
      <c r="B26" s="4" t="s">
        <v>93</v>
      </c>
      <c r="C26" s="4" t="s">
        <v>108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15" hidden="false" customHeight="false" outlineLevel="0" collapsed="false">
      <c r="A27" s="3" t="s">
        <v>109</v>
      </c>
      <c r="B27" s="4" t="s">
        <v>93</v>
      </c>
      <c r="C27" s="4" t="s">
        <v>110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3.85" hidden="false" customHeight="false" outlineLevel="0" collapsed="false">
      <c r="A28" s="3" t="s">
        <v>111</v>
      </c>
      <c r="B28" s="4" t="s">
        <v>93</v>
      </c>
      <c r="C28" s="4" t="s">
        <v>112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15" hidden="false" customHeight="false" outlineLevel="0" collapsed="false">
      <c r="A29" s="3" t="s">
        <v>113</v>
      </c>
      <c r="B29" s="4" t="s">
        <v>114</v>
      </c>
      <c r="C29" s="4" t="s">
        <v>115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15" hidden="false" customHeight="false" outlineLevel="0" collapsed="false">
      <c r="A30" s="3" t="s">
        <v>116</v>
      </c>
      <c r="B30" s="4" t="s">
        <v>114</v>
      </c>
      <c r="C30" s="4" t="s">
        <v>117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15" hidden="false" customHeight="false" outlineLevel="0" collapsed="false">
      <c r="A31" s="3" t="s">
        <v>118</v>
      </c>
      <c r="B31" s="4" t="s">
        <v>114</v>
      </c>
      <c r="C31" s="4" t="s">
        <v>119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customFormat="false" ht="15" hidden="false" customHeight="false" outlineLevel="0" collapsed="false">
      <c r="A32" s="3" t="s">
        <v>120</v>
      </c>
      <c r="B32" s="4" t="s">
        <v>114</v>
      </c>
      <c r="C32" s="4" t="s">
        <v>121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customFormat="false" ht="15" hidden="false" customHeight="false" outlineLevel="0" collapsed="false">
      <c r="A33" s="3" t="s">
        <v>122</v>
      </c>
      <c r="B33" s="4" t="s">
        <v>114</v>
      </c>
      <c r="C33" s="4" t="s">
        <v>123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15" hidden="false" customHeight="false" outlineLevel="0" collapsed="false">
      <c r="A34" s="3" t="s">
        <v>124</v>
      </c>
      <c r="B34" s="4" t="s">
        <v>114</v>
      </c>
      <c r="C34" s="4" t="s">
        <v>125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customFormat="false" ht="23.85" hidden="false" customHeight="false" outlineLevel="0" collapsed="false">
      <c r="A35" s="3" t="s">
        <v>126</v>
      </c>
      <c r="B35" s="4" t="s">
        <v>114</v>
      </c>
      <c r="C35" s="4" t="s">
        <v>127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customFormat="false" ht="15" hidden="false" customHeight="false" outlineLevel="0" collapsed="false">
      <c r="A36" s="3" t="s">
        <v>128</v>
      </c>
      <c r="B36" s="4" t="s">
        <v>114</v>
      </c>
      <c r="C36" s="4" t="s">
        <v>129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customFormat="false" ht="15" hidden="false" customHeight="false" outlineLevel="0" collapsed="false">
      <c r="A37" s="3" t="s">
        <v>130</v>
      </c>
      <c r="B37" s="4" t="s">
        <v>114</v>
      </c>
      <c r="C37" s="4" t="s">
        <v>131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customFormat="false" ht="15" hidden="false" customHeight="false" outlineLevel="0" collapsed="false">
      <c r="A38" s="3" t="s">
        <v>132</v>
      </c>
      <c r="B38" s="4" t="s">
        <v>114</v>
      </c>
      <c r="C38" s="4" t="s">
        <v>133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customFormat="false" ht="15" hidden="false" customHeight="false" outlineLevel="0" collapsed="false">
      <c r="A39" s="3" t="s">
        <v>134</v>
      </c>
      <c r="B39" s="4" t="s">
        <v>135</v>
      </c>
      <c r="C39" s="4" t="s">
        <v>136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customFormat="false" ht="23.85" hidden="false" customHeight="false" outlineLevel="0" collapsed="false">
      <c r="A40" s="3" t="s">
        <v>137</v>
      </c>
      <c r="B40" s="4" t="s">
        <v>135</v>
      </c>
      <c r="C40" s="4" t="s">
        <v>138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customFormat="false" ht="15" hidden="false" customHeight="false" outlineLevel="0" collapsed="false">
      <c r="A41" s="3" t="s">
        <v>139</v>
      </c>
      <c r="B41" s="4" t="s">
        <v>135</v>
      </c>
      <c r="C41" s="4" t="s">
        <v>140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customFormat="false" ht="15" hidden="false" customHeight="false" outlineLevel="0" collapsed="false">
      <c r="A42" s="3" t="s">
        <v>141</v>
      </c>
      <c r="B42" s="4" t="s">
        <v>135</v>
      </c>
      <c r="C42" s="4" t="s">
        <v>142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customFormat="false" ht="23.85" hidden="false" customHeight="false" outlineLevel="0" collapsed="false">
      <c r="A43" s="3" t="s">
        <v>143</v>
      </c>
      <c r="B43" s="4" t="s">
        <v>135</v>
      </c>
      <c r="C43" s="4" t="s">
        <v>144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customFormat="false" ht="15" hidden="false" customHeight="false" outlineLevel="0" collapsed="false">
      <c r="A44" s="3" t="s">
        <v>145</v>
      </c>
      <c r="B44" s="4" t="s">
        <v>135</v>
      </c>
      <c r="C44" s="4" t="s">
        <v>146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customFormat="false" ht="23.85" hidden="false" customHeight="false" outlineLevel="0" collapsed="false">
      <c r="A45" s="3" t="s">
        <v>147</v>
      </c>
      <c r="B45" s="4" t="s">
        <v>135</v>
      </c>
      <c r="C45" s="4" t="s">
        <v>148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customFormat="false" ht="15" hidden="false" customHeight="false" outlineLevel="0" collapsed="false">
      <c r="A46" s="3" t="s">
        <v>149</v>
      </c>
      <c r="B46" s="4" t="s">
        <v>135</v>
      </c>
      <c r="C46" s="4" t="s">
        <v>150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customFormat="false" ht="15" hidden="false" customHeight="false" outlineLevel="0" collapsed="false">
      <c r="A47" s="3" t="s">
        <v>151</v>
      </c>
      <c r="B47" s="4" t="s">
        <v>135</v>
      </c>
      <c r="C47" s="4" t="s">
        <v>152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customFormat="false" ht="15" hidden="false" customHeight="false" outlineLevel="0" collapsed="false">
      <c r="A48" s="3" t="s">
        <v>153</v>
      </c>
      <c r="B48" s="4" t="s">
        <v>135</v>
      </c>
      <c r="C48" s="4" t="s">
        <v>154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customFormat="false" ht="15" hidden="false" customHeight="false" outlineLevel="0" collapsed="false">
      <c r="A49" s="3" t="s">
        <v>155</v>
      </c>
      <c r="B49" s="4" t="s">
        <v>156</v>
      </c>
      <c r="C49" s="4" t="s">
        <v>157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customFormat="false" ht="15" hidden="false" customHeight="false" outlineLevel="0" collapsed="false">
      <c r="A50" s="3" t="s">
        <v>158</v>
      </c>
      <c r="B50" s="4" t="s">
        <v>156</v>
      </c>
      <c r="C50" s="4" t="s">
        <v>159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customFormat="false" ht="15" hidden="false" customHeight="false" outlineLevel="0" collapsed="false">
      <c r="A51" s="3" t="s">
        <v>160</v>
      </c>
      <c r="B51" s="4" t="s">
        <v>156</v>
      </c>
      <c r="C51" s="4" t="s">
        <v>161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customFormat="false" ht="23.85" hidden="false" customHeight="false" outlineLevel="0" collapsed="false">
      <c r="A52" s="3" t="s">
        <v>162</v>
      </c>
      <c r="B52" s="4" t="s">
        <v>156</v>
      </c>
      <c r="C52" s="4" t="s">
        <v>163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customFormat="false" ht="15" hidden="false" customHeight="false" outlineLevel="0" collapsed="false">
      <c r="A53" s="3" t="s">
        <v>164</v>
      </c>
      <c r="B53" s="4" t="s">
        <v>156</v>
      </c>
      <c r="C53" s="4" t="s">
        <v>165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customFormat="false" ht="15" hidden="false" customHeight="false" outlineLevel="0" collapsed="false">
      <c r="A54" s="3" t="s">
        <v>166</v>
      </c>
      <c r="B54" s="4" t="s">
        <v>156</v>
      </c>
      <c r="C54" s="4" t="s">
        <v>167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customFormat="false" ht="15" hidden="false" customHeight="false" outlineLevel="0" collapsed="false">
      <c r="A55" s="3" t="s">
        <v>168</v>
      </c>
      <c r="B55" s="4" t="s">
        <v>156</v>
      </c>
      <c r="C55" s="4" t="s">
        <v>169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customFormat="false" ht="15" hidden="false" customHeight="false" outlineLevel="0" collapsed="false">
      <c r="A56" s="3" t="s">
        <v>170</v>
      </c>
      <c r="B56" s="4" t="s">
        <v>156</v>
      </c>
      <c r="C56" s="4" t="s">
        <v>171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customFormat="false" ht="23.85" hidden="false" customHeight="false" outlineLevel="0" collapsed="false">
      <c r="A57" s="3" t="s">
        <v>172</v>
      </c>
      <c r="B57" s="4" t="s">
        <v>156</v>
      </c>
      <c r="C57" s="4" t="s">
        <v>173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customFormat="false" ht="15" hidden="false" customHeight="false" outlineLevel="0" collapsed="false">
      <c r="A58" s="3" t="s">
        <v>174</v>
      </c>
      <c r="B58" s="4" t="s">
        <v>156</v>
      </c>
      <c r="C58" s="4" t="s">
        <v>175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customFormat="false" ht="23.85" hidden="false" customHeight="false" outlineLevel="0" collapsed="false">
      <c r="A59" s="3" t="s">
        <v>176</v>
      </c>
      <c r="B59" s="4" t="s">
        <v>177</v>
      </c>
      <c r="C59" s="4" t="s">
        <v>178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customFormat="false" ht="15" hidden="false" customHeight="false" outlineLevel="0" collapsed="false">
      <c r="A60" s="3" t="s">
        <v>179</v>
      </c>
      <c r="B60" s="4" t="s">
        <v>177</v>
      </c>
      <c r="C60" s="4" t="s">
        <v>180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customFormat="false" ht="23.85" hidden="false" customHeight="false" outlineLevel="0" collapsed="false">
      <c r="A61" s="3" t="s">
        <v>181</v>
      </c>
      <c r="B61" s="4" t="s">
        <v>177</v>
      </c>
      <c r="C61" s="4" t="s">
        <v>182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customFormat="false" ht="15" hidden="false" customHeight="false" outlineLevel="0" collapsed="false">
      <c r="A62" s="3" t="s">
        <v>183</v>
      </c>
      <c r="B62" s="4" t="s">
        <v>177</v>
      </c>
      <c r="C62" s="4" t="s">
        <v>184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customFormat="false" ht="23.85" hidden="false" customHeight="false" outlineLevel="0" collapsed="false">
      <c r="A63" s="3" t="s">
        <v>185</v>
      </c>
      <c r="B63" s="4" t="s">
        <v>177</v>
      </c>
      <c r="C63" s="4" t="s">
        <v>186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customFormat="false" ht="15" hidden="false" customHeight="false" outlineLevel="0" collapsed="false">
      <c r="A64" s="3" t="s">
        <v>187</v>
      </c>
      <c r="B64" s="4" t="s">
        <v>177</v>
      </c>
      <c r="C64" s="4" t="s">
        <v>188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customFormat="false" ht="23.85" hidden="false" customHeight="false" outlineLevel="0" collapsed="false">
      <c r="A65" s="3" t="s">
        <v>189</v>
      </c>
      <c r="B65" s="4" t="s">
        <v>177</v>
      </c>
      <c r="C65" s="4" t="s">
        <v>190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customFormat="false" ht="15" hidden="false" customHeight="false" outlineLevel="0" collapsed="false">
      <c r="A66" s="3" t="s">
        <v>191</v>
      </c>
      <c r="B66" s="4" t="s">
        <v>177</v>
      </c>
      <c r="C66" s="4" t="s">
        <v>192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customFormat="false" ht="15" hidden="false" customHeight="false" outlineLevel="0" collapsed="false">
      <c r="A67" s="3" t="s">
        <v>193</v>
      </c>
      <c r="B67" s="4" t="s">
        <v>177</v>
      </c>
      <c r="C67" s="4" t="s">
        <v>194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customFormat="false" ht="23.85" hidden="false" customHeight="false" outlineLevel="0" collapsed="false">
      <c r="A68" s="3" t="s">
        <v>195</v>
      </c>
      <c r="B68" s="4" t="s">
        <v>177</v>
      </c>
      <c r="C68" s="4" t="s">
        <v>196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70" customFormat="false" ht="15" hidden="false" customHeight="false" outlineLevel="0" collapsed="false">
      <c r="A70" s="8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5" t="s">
        <v>198</v>
      </c>
    </row>
    <row r="3" customFormat="false" ht="30" hidden="false" customHeight="true" outlineLevel="0" collapsed="false">
      <c r="A3" s="6" t="s">
        <v>199</v>
      </c>
      <c r="B3" s="6" t="s">
        <v>200</v>
      </c>
      <c r="C3" s="6" t="s">
        <v>201</v>
      </c>
    </row>
    <row r="4" customFormat="false" ht="31.5" hidden="false" customHeight="true" outlineLevel="0" collapsed="false">
      <c r="A4" s="3" t="s">
        <v>202</v>
      </c>
      <c r="B4" s="4" t="s">
        <v>203</v>
      </c>
      <c r="C4" s="4" t="s">
        <v>204</v>
      </c>
    </row>
    <row r="5" customFormat="false" ht="31.5" hidden="false" customHeight="true" outlineLevel="0" collapsed="false">
      <c r="A5" s="3" t="s">
        <v>205</v>
      </c>
      <c r="B5" s="4" t="s">
        <v>206</v>
      </c>
      <c r="C5" s="4" t="s">
        <v>207</v>
      </c>
    </row>
    <row r="6" customFormat="false" ht="31.5" hidden="false" customHeight="true" outlineLevel="0" collapsed="false">
      <c r="A6" s="3" t="s">
        <v>208</v>
      </c>
      <c r="B6" s="4" t="s">
        <v>209</v>
      </c>
      <c r="C6" s="4" t="s">
        <v>210</v>
      </c>
    </row>
    <row r="7" customFormat="false" ht="31.5" hidden="false" customHeight="true" outlineLevel="0" collapsed="false">
      <c r="A7" s="3" t="s">
        <v>211</v>
      </c>
      <c r="B7" s="4" t="s">
        <v>212</v>
      </c>
      <c r="C7" s="4" t="s">
        <v>213</v>
      </c>
    </row>
    <row r="8" customFormat="false" ht="31.5" hidden="false" customHeight="true" outlineLevel="0" collapsed="false">
      <c r="A8" s="3" t="s">
        <v>214</v>
      </c>
      <c r="B8" s="4" t="s">
        <v>215</v>
      </c>
      <c r="C8" s="4" t="s">
        <v>216</v>
      </c>
    </row>
    <row r="10" customFormat="false" ht="46.25" hidden="false" customHeight="false" outlineLevel="0" collapsed="false">
      <c r="A10" s="3" t="s">
        <v>217</v>
      </c>
    </row>
    <row r="11" customFormat="false" ht="15" hidden="false" customHeight="false" outlineLevel="0" collapsed="false">
      <c r="A11" s="3" t="s">
        <v>218</v>
      </c>
      <c r="C11" s="4" t="s">
        <v>219</v>
      </c>
    </row>
    <row r="12" customFormat="false" ht="23.85" hidden="false" customHeight="false" outlineLevel="0" collapsed="false">
      <c r="A12" s="3" t="s">
        <v>220</v>
      </c>
      <c r="C12" s="4" t="s">
        <v>221</v>
      </c>
    </row>
    <row r="13" customFormat="false" ht="15" hidden="false" customHeight="false" outlineLevel="0" collapsed="false">
      <c r="A13" s="3" t="s">
        <v>222</v>
      </c>
      <c r="C13" s="4" t="s">
        <v>223</v>
      </c>
    </row>
    <row r="14" customFormat="false" ht="23.85" hidden="false" customHeight="false" outlineLevel="0" collapsed="false">
      <c r="A14" s="3" t="s">
        <v>224</v>
      </c>
      <c r="C14" s="4" t="s">
        <v>225</v>
      </c>
    </row>
    <row r="16" customFormat="false" ht="31.5" hidden="false" customHeight="true" outlineLevel="0" collapsed="false">
      <c r="A16" s="3" t="s">
        <v>226</v>
      </c>
      <c r="C16" s="4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5" min="3" style="0" width="34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10" min="9" style="0" width="22"/>
  </cols>
  <sheetData>
    <row r="1" customFormat="false" ht="15" hidden="false" customHeight="false" outlineLevel="0" collapsed="false">
      <c r="A1" s="5" t="s">
        <v>228</v>
      </c>
    </row>
    <row r="3" customFormat="false" ht="30" hidden="false" customHeight="true" outlineLevel="0" collapsed="false">
      <c r="A3" s="6" t="s">
        <v>56</v>
      </c>
      <c r="B3" s="6" t="s">
        <v>57</v>
      </c>
      <c r="C3" s="6" t="s">
        <v>229</v>
      </c>
      <c r="D3" s="6" t="s">
        <v>230</v>
      </c>
      <c r="E3" s="6" t="s">
        <v>231</v>
      </c>
      <c r="F3" s="6" t="s">
        <v>232</v>
      </c>
      <c r="G3" s="6" t="s">
        <v>233</v>
      </c>
      <c r="H3" s="6" t="s">
        <v>234</v>
      </c>
      <c r="I3" s="6" t="s">
        <v>235</v>
      </c>
      <c r="J3" s="6" t="s">
        <v>236</v>
      </c>
    </row>
    <row r="4" customFormat="false" ht="15" hidden="false" customHeight="false" outlineLevel="0" collapsed="false">
      <c r="A4" s="3" t="s">
        <v>78</v>
      </c>
      <c r="B4" s="4" t="s">
        <v>72</v>
      </c>
      <c r="C4" s="4" t="s">
        <v>237</v>
      </c>
      <c r="D4" s="4" t="s">
        <v>79</v>
      </c>
      <c r="E4" s="9"/>
      <c r="F4" s="4" t="s">
        <v>238</v>
      </c>
      <c r="G4" s="9"/>
      <c r="H4" s="4" t="s">
        <v>239</v>
      </c>
      <c r="I4" s="9"/>
      <c r="J4" s="9"/>
    </row>
    <row r="5" customFormat="false" ht="23.85" hidden="false" customHeight="false" outlineLevel="0" collapsed="false">
      <c r="A5" s="3" t="s">
        <v>82</v>
      </c>
      <c r="B5" s="4" t="s">
        <v>72</v>
      </c>
      <c r="C5" s="4" t="s">
        <v>240</v>
      </c>
      <c r="D5" s="4" t="s">
        <v>83</v>
      </c>
      <c r="E5" s="9"/>
      <c r="F5" s="4" t="s">
        <v>241</v>
      </c>
      <c r="G5" s="9"/>
      <c r="H5" s="4" t="s">
        <v>239</v>
      </c>
      <c r="I5" s="9"/>
      <c r="J5" s="9"/>
    </row>
    <row r="6" customFormat="false" ht="23.85" hidden="false" customHeight="false" outlineLevel="0" collapsed="false">
      <c r="A6" s="3" t="s">
        <v>88</v>
      </c>
      <c r="B6" s="4" t="s">
        <v>72</v>
      </c>
      <c r="C6" s="4" t="s">
        <v>242</v>
      </c>
      <c r="D6" s="4" t="s">
        <v>89</v>
      </c>
      <c r="E6" s="9"/>
      <c r="F6" s="4" t="s">
        <v>238</v>
      </c>
      <c r="G6" s="9"/>
      <c r="H6" s="4" t="s">
        <v>239</v>
      </c>
      <c r="I6" s="9"/>
      <c r="J6" s="9"/>
    </row>
    <row r="7" customFormat="false" ht="23.85" hidden="false" customHeight="false" outlineLevel="0" collapsed="false">
      <c r="A7" s="3" t="s">
        <v>92</v>
      </c>
      <c r="B7" s="4" t="s">
        <v>93</v>
      </c>
      <c r="C7" s="4" t="s">
        <v>243</v>
      </c>
      <c r="D7" s="4" t="s">
        <v>94</v>
      </c>
      <c r="E7" s="9"/>
      <c r="F7" s="4" t="s">
        <v>244</v>
      </c>
      <c r="G7" s="9"/>
      <c r="H7" s="4" t="s">
        <v>239</v>
      </c>
      <c r="I7" s="9"/>
      <c r="J7" s="9"/>
    </row>
    <row r="8" customFormat="false" ht="15" hidden="false" customHeight="false" outlineLevel="0" collapsed="false">
      <c r="A8" s="3" t="s">
        <v>109</v>
      </c>
      <c r="B8" s="4" t="s">
        <v>93</v>
      </c>
      <c r="C8" s="4" t="s">
        <v>245</v>
      </c>
      <c r="D8" s="4" t="s">
        <v>110</v>
      </c>
      <c r="E8" s="9"/>
      <c r="F8" s="4" t="s">
        <v>246</v>
      </c>
      <c r="G8" s="9"/>
      <c r="H8" s="4" t="s">
        <v>239</v>
      </c>
      <c r="I8" s="9"/>
      <c r="J8" s="9"/>
    </row>
    <row r="9" customFormat="false" ht="15" hidden="false" customHeight="false" outlineLevel="0" collapsed="false">
      <c r="A9" s="3" t="s">
        <v>124</v>
      </c>
      <c r="B9" s="4" t="s">
        <v>114</v>
      </c>
      <c r="C9" s="4" t="s">
        <v>247</v>
      </c>
      <c r="D9" s="4" t="s">
        <v>125</v>
      </c>
      <c r="E9" s="9"/>
      <c r="F9" s="4" t="s">
        <v>238</v>
      </c>
      <c r="G9" s="9"/>
      <c r="H9" s="4" t="s">
        <v>239</v>
      </c>
      <c r="I9" s="9"/>
      <c r="J9" s="9"/>
    </row>
    <row r="10" customFormat="false" ht="23.85" hidden="false" customHeight="false" outlineLevel="0" collapsed="false">
      <c r="A10" s="3" t="s">
        <v>128</v>
      </c>
      <c r="B10" s="4" t="s">
        <v>114</v>
      </c>
      <c r="C10" s="4" t="s">
        <v>248</v>
      </c>
      <c r="D10" s="4" t="s">
        <v>129</v>
      </c>
      <c r="E10" s="9"/>
      <c r="F10" s="4" t="s">
        <v>249</v>
      </c>
      <c r="G10" s="9"/>
      <c r="H10" s="4" t="s">
        <v>239</v>
      </c>
      <c r="I10" s="9"/>
      <c r="J10" s="9"/>
    </row>
    <row r="11" customFormat="false" ht="23.85" hidden="false" customHeight="false" outlineLevel="0" collapsed="false">
      <c r="A11" s="3" t="s">
        <v>139</v>
      </c>
      <c r="B11" s="4" t="s">
        <v>135</v>
      </c>
      <c r="C11" s="4" t="s">
        <v>250</v>
      </c>
      <c r="D11" s="4" t="s">
        <v>140</v>
      </c>
      <c r="E11" s="9"/>
      <c r="F11" s="4" t="s">
        <v>251</v>
      </c>
      <c r="G11" s="9"/>
      <c r="H11" s="4" t="s">
        <v>239</v>
      </c>
      <c r="I11" s="9"/>
      <c r="J11" s="9"/>
    </row>
    <row r="12" customFormat="false" ht="23.85" hidden="false" customHeight="false" outlineLevel="0" collapsed="false">
      <c r="A12" s="3" t="s">
        <v>143</v>
      </c>
      <c r="B12" s="4" t="s">
        <v>135</v>
      </c>
      <c r="C12" s="4" t="s">
        <v>252</v>
      </c>
      <c r="D12" s="4" t="s">
        <v>144</v>
      </c>
      <c r="E12" s="9"/>
      <c r="F12" s="4" t="s">
        <v>253</v>
      </c>
      <c r="G12" s="9"/>
      <c r="H12" s="4" t="s">
        <v>239</v>
      </c>
      <c r="I12" s="9"/>
      <c r="J12" s="9"/>
    </row>
    <row r="13" customFormat="false" ht="23.85" hidden="false" customHeight="false" outlineLevel="0" collapsed="false">
      <c r="A13" s="3" t="s">
        <v>153</v>
      </c>
      <c r="B13" s="4" t="s">
        <v>135</v>
      </c>
      <c r="C13" s="4" t="s">
        <v>254</v>
      </c>
      <c r="D13" s="4" t="s">
        <v>154</v>
      </c>
      <c r="E13" s="9"/>
      <c r="F13" s="4" t="s">
        <v>241</v>
      </c>
      <c r="G13" s="9"/>
      <c r="H13" s="4" t="s">
        <v>239</v>
      </c>
      <c r="I13" s="9"/>
      <c r="J13" s="9"/>
    </row>
    <row r="14" customFormat="false" ht="15" hidden="false" customHeight="false" outlineLevel="0" collapsed="false">
      <c r="A14" s="3" t="s">
        <v>158</v>
      </c>
      <c r="B14" s="4" t="s">
        <v>156</v>
      </c>
      <c r="C14" s="4" t="s">
        <v>255</v>
      </c>
      <c r="D14" s="4" t="s">
        <v>159</v>
      </c>
      <c r="E14" s="9"/>
      <c r="F14" s="4" t="s">
        <v>246</v>
      </c>
      <c r="G14" s="9"/>
      <c r="H14" s="4" t="s">
        <v>239</v>
      </c>
      <c r="I14" s="9"/>
      <c r="J14" s="9"/>
    </row>
    <row r="15" customFormat="false" ht="23.85" hidden="false" customHeight="false" outlineLevel="0" collapsed="false">
      <c r="A15" s="3" t="s">
        <v>160</v>
      </c>
      <c r="B15" s="4" t="s">
        <v>156</v>
      </c>
      <c r="C15" s="4" t="s">
        <v>256</v>
      </c>
      <c r="D15" s="4" t="s">
        <v>161</v>
      </c>
      <c r="E15" s="9"/>
      <c r="F15" s="4" t="s">
        <v>257</v>
      </c>
      <c r="G15" s="9"/>
      <c r="H15" s="4" t="s">
        <v>239</v>
      </c>
      <c r="I15" s="9"/>
      <c r="J15" s="9"/>
    </row>
    <row r="16" customFormat="false" ht="23.85" hidden="false" customHeight="false" outlineLevel="0" collapsed="false">
      <c r="A16" s="3" t="s">
        <v>162</v>
      </c>
      <c r="B16" s="4" t="s">
        <v>156</v>
      </c>
      <c r="C16" s="4" t="s">
        <v>258</v>
      </c>
      <c r="D16" s="4" t="s">
        <v>163</v>
      </c>
      <c r="E16" s="9"/>
      <c r="F16" s="4" t="s">
        <v>244</v>
      </c>
      <c r="G16" s="9"/>
      <c r="H16" s="4" t="s">
        <v>239</v>
      </c>
      <c r="I16" s="9"/>
      <c r="J16" s="9"/>
    </row>
    <row r="17" customFormat="false" ht="15" hidden="false" customHeight="false" outlineLevel="0" collapsed="false">
      <c r="A17" s="3" t="s">
        <v>166</v>
      </c>
      <c r="B17" s="4" t="s">
        <v>156</v>
      </c>
      <c r="C17" s="4" t="s">
        <v>259</v>
      </c>
      <c r="D17" s="4" t="s">
        <v>167</v>
      </c>
      <c r="E17" s="9"/>
      <c r="F17" s="4" t="s">
        <v>260</v>
      </c>
      <c r="G17" s="9"/>
      <c r="H17" s="4" t="s">
        <v>239</v>
      </c>
      <c r="I17" s="9"/>
      <c r="J17" s="9"/>
    </row>
    <row r="18" customFormat="false" ht="15" hidden="false" customHeight="false" outlineLevel="0" collapsed="false">
      <c r="A18" s="3" t="s">
        <v>168</v>
      </c>
      <c r="B18" s="4" t="s">
        <v>156</v>
      </c>
      <c r="C18" s="4" t="s">
        <v>261</v>
      </c>
      <c r="D18" s="4" t="s">
        <v>169</v>
      </c>
      <c r="E18" s="9"/>
      <c r="F18" s="4" t="s">
        <v>262</v>
      </c>
      <c r="G18" s="9"/>
      <c r="H18" s="4" t="s">
        <v>239</v>
      </c>
      <c r="I18" s="9"/>
      <c r="J18" s="9"/>
    </row>
    <row r="19" customFormat="false" ht="15" hidden="false" customHeight="false" outlineLevel="0" collapsed="false">
      <c r="A19" s="3" t="s">
        <v>170</v>
      </c>
      <c r="B19" s="4" t="s">
        <v>156</v>
      </c>
      <c r="C19" s="4" t="s">
        <v>263</v>
      </c>
      <c r="D19" s="4" t="s">
        <v>171</v>
      </c>
      <c r="E19" s="9"/>
      <c r="F19" s="4" t="s">
        <v>251</v>
      </c>
      <c r="G19" s="9"/>
      <c r="H19" s="4" t="s">
        <v>239</v>
      </c>
      <c r="I19" s="9"/>
      <c r="J19" s="9"/>
    </row>
    <row r="20" customFormat="false" ht="23.85" hidden="false" customHeight="false" outlineLevel="0" collapsed="false">
      <c r="A20" s="3" t="s">
        <v>172</v>
      </c>
      <c r="B20" s="4" t="s">
        <v>156</v>
      </c>
      <c r="C20" s="4" t="s">
        <v>264</v>
      </c>
      <c r="D20" s="4" t="s">
        <v>173</v>
      </c>
      <c r="E20" s="9"/>
      <c r="F20" s="4" t="s">
        <v>238</v>
      </c>
      <c r="G20" s="9"/>
      <c r="H20" s="4" t="s">
        <v>239</v>
      </c>
      <c r="I20" s="9"/>
      <c r="J20" s="9"/>
    </row>
    <row r="21" customFormat="false" ht="23.85" hidden="false" customHeight="false" outlineLevel="0" collapsed="false">
      <c r="A21" s="3" t="s">
        <v>176</v>
      </c>
      <c r="B21" s="4" t="s">
        <v>177</v>
      </c>
      <c r="C21" s="4" t="s">
        <v>265</v>
      </c>
      <c r="D21" s="4" t="s">
        <v>178</v>
      </c>
      <c r="E21" s="9"/>
      <c r="F21" s="4" t="s">
        <v>253</v>
      </c>
      <c r="G21" s="9"/>
      <c r="H21" s="4" t="s">
        <v>239</v>
      </c>
      <c r="I21" s="9"/>
      <c r="J21" s="9"/>
    </row>
    <row r="22" customFormat="false" ht="15" hidden="false" customHeight="false" outlineLevel="0" collapsed="false">
      <c r="A22" s="3" t="s">
        <v>179</v>
      </c>
      <c r="B22" s="4" t="s">
        <v>177</v>
      </c>
      <c r="C22" s="4" t="s">
        <v>266</v>
      </c>
      <c r="D22" s="4" t="s">
        <v>180</v>
      </c>
      <c r="E22" s="9"/>
      <c r="F22" s="4" t="s">
        <v>267</v>
      </c>
      <c r="G22" s="9"/>
      <c r="H22" s="4" t="s">
        <v>239</v>
      </c>
      <c r="I22" s="9"/>
      <c r="J22" s="9"/>
    </row>
    <row r="23" customFormat="false" ht="23.85" hidden="false" customHeight="false" outlineLevel="0" collapsed="false">
      <c r="A23" s="3" t="s">
        <v>181</v>
      </c>
      <c r="B23" s="4" t="s">
        <v>177</v>
      </c>
      <c r="C23" s="4" t="s">
        <v>268</v>
      </c>
      <c r="D23" s="4" t="s">
        <v>182</v>
      </c>
      <c r="E23" s="9"/>
      <c r="F23" s="4" t="s">
        <v>253</v>
      </c>
      <c r="G23" s="9"/>
      <c r="H23" s="4" t="s">
        <v>239</v>
      </c>
      <c r="I23" s="9"/>
      <c r="J23" s="9"/>
    </row>
    <row r="24" customFormat="false" ht="23.85" hidden="false" customHeight="false" outlineLevel="0" collapsed="false">
      <c r="A24" s="3" t="s">
        <v>185</v>
      </c>
      <c r="B24" s="4" t="s">
        <v>177</v>
      </c>
      <c r="C24" s="4" t="s">
        <v>269</v>
      </c>
      <c r="D24" s="4" t="s">
        <v>186</v>
      </c>
      <c r="E24" s="9"/>
      <c r="F24" s="4" t="s">
        <v>238</v>
      </c>
      <c r="G24" s="9"/>
      <c r="H24" s="4" t="s">
        <v>239</v>
      </c>
      <c r="I24" s="9"/>
      <c r="J24" s="9"/>
    </row>
    <row r="25" customFormat="false" ht="15" hidden="false" customHeight="false" outlineLevel="0" collapsed="false">
      <c r="A25" s="3" t="s">
        <v>187</v>
      </c>
      <c r="B25" s="4" t="s">
        <v>177</v>
      </c>
      <c r="C25" s="4" t="s">
        <v>270</v>
      </c>
      <c r="D25" s="4" t="s">
        <v>188</v>
      </c>
      <c r="E25" s="9"/>
      <c r="F25" s="4" t="s">
        <v>260</v>
      </c>
      <c r="G25" s="9"/>
      <c r="H25" s="4" t="s">
        <v>239</v>
      </c>
      <c r="I25" s="9"/>
      <c r="J25" s="9"/>
    </row>
    <row r="26" customFormat="false" ht="23.85" hidden="false" customHeight="false" outlineLevel="0" collapsed="false">
      <c r="A26" s="3" t="s">
        <v>189</v>
      </c>
      <c r="B26" s="4" t="s">
        <v>177</v>
      </c>
      <c r="C26" s="4" t="s">
        <v>271</v>
      </c>
      <c r="D26" s="4" t="s">
        <v>190</v>
      </c>
      <c r="E26" s="9"/>
      <c r="F26" s="4" t="s">
        <v>272</v>
      </c>
      <c r="G26" s="9"/>
      <c r="H26" s="4" t="s">
        <v>239</v>
      </c>
      <c r="I26" s="9"/>
      <c r="J26" s="9"/>
    </row>
    <row r="27" customFormat="false" ht="23.85" hidden="false" customHeight="false" outlineLevel="0" collapsed="false">
      <c r="A27" s="3" t="s">
        <v>191</v>
      </c>
      <c r="B27" s="4" t="s">
        <v>177</v>
      </c>
      <c r="C27" s="4" t="s">
        <v>273</v>
      </c>
      <c r="D27" s="4" t="s">
        <v>192</v>
      </c>
      <c r="E27" s="9"/>
      <c r="F27" s="4" t="s">
        <v>253</v>
      </c>
      <c r="G27" s="9"/>
      <c r="H27" s="4" t="s">
        <v>239</v>
      </c>
      <c r="I27" s="9"/>
      <c r="J27" s="9"/>
    </row>
    <row r="29" customFormat="false" ht="15" hidden="false" customHeight="false" outlineLevel="0" collapsed="false">
      <c r="A29" s="8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5" t="s">
        <v>275</v>
      </c>
    </row>
    <row r="3" customFormat="false" ht="30" hidden="false" customHeight="true" outlineLevel="0" collapsed="false">
      <c r="A3" s="6" t="s">
        <v>56</v>
      </c>
      <c r="B3" s="6" t="s">
        <v>57</v>
      </c>
      <c r="C3" s="6" t="s">
        <v>276</v>
      </c>
      <c r="D3" s="6" t="s">
        <v>277</v>
      </c>
      <c r="E3" s="6" t="s">
        <v>278</v>
      </c>
      <c r="F3" s="6" t="s">
        <v>279</v>
      </c>
      <c r="G3" s="6" t="s">
        <v>280</v>
      </c>
      <c r="H3" s="6" t="s">
        <v>281</v>
      </c>
      <c r="I3" s="6" t="s">
        <v>282</v>
      </c>
      <c r="J3" s="6" t="s">
        <v>283</v>
      </c>
      <c r="K3" s="6" t="s">
        <v>284</v>
      </c>
    </row>
    <row r="4" customFormat="false" ht="15" hidden="false" customHeight="true" outlineLevel="0" collapsed="false">
      <c r="A4" s="3" t="s">
        <v>71</v>
      </c>
      <c r="B4" s="4" t="s">
        <v>72</v>
      </c>
      <c r="C4" s="9"/>
      <c r="D4" s="9"/>
      <c r="E4" s="9"/>
      <c r="F4" s="9"/>
      <c r="G4" s="9"/>
      <c r="H4" s="9"/>
      <c r="I4" s="9"/>
      <c r="J4" s="9"/>
      <c r="K4" s="9"/>
    </row>
    <row r="5" customFormat="false" ht="15" hidden="false" customHeight="true" outlineLevel="0" collapsed="false">
      <c r="A5" s="3" t="s">
        <v>74</v>
      </c>
      <c r="B5" s="4" t="s">
        <v>72</v>
      </c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3" t="s">
        <v>76</v>
      </c>
      <c r="B6" s="4" t="s">
        <v>72</v>
      </c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true" outlineLevel="0" collapsed="false">
      <c r="A7" s="3" t="s">
        <v>78</v>
      </c>
      <c r="B7" s="4" t="s">
        <v>72</v>
      </c>
      <c r="C7" s="9"/>
      <c r="D7" s="9"/>
      <c r="E7" s="9"/>
      <c r="F7" s="9"/>
      <c r="G7" s="9"/>
      <c r="H7" s="9"/>
      <c r="I7" s="9"/>
      <c r="J7" s="9"/>
      <c r="K7" s="9"/>
    </row>
    <row r="8" customFormat="false" ht="15" hidden="false" customHeight="true" outlineLevel="0" collapsed="false">
      <c r="A8" s="3" t="s">
        <v>80</v>
      </c>
      <c r="B8" s="4" t="s">
        <v>72</v>
      </c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true" outlineLevel="0" collapsed="false">
      <c r="A9" s="3" t="s">
        <v>82</v>
      </c>
      <c r="B9" s="4" t="s">
        <v>72</v>
      </c>
      <c r="C9" s="9"/>
      <c r="D9" s="9"/>
      <c r="E9" s="9"/>
      <c r="F9" s="9"/>
      <c r="G9" s="9"/>
      <c r="H9" s="9"/>
      <c r="I9" s="9"/>
      <c r="J9" s="9"/>
      <c r="K9" s="9"/>
    </row>
    <row r="10" customFormat="false" ht="15" hidden="false" customHeight="true" outlineLevel="0" collapsed="false">
      <c r="A10" s="3" t="s">
        <v>84</v>
      </c>
      <c r="B10" s="4" t="s">
        <v>72</v>
      </c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true" outlineLevel="0" collapsed="false">
      <c r="A11" s="3" t="s">
        <v>86</v>
      </c>
      <c r="B11" s="4" t="s">
        <v>72</v>
      </c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true" outlineLevel="0" collapsed="false">
      <c r="A12" s="3" t="s">
        <v>88</v>
      </c>
      <c r="B12" s="4" t="s">
        <v>72</v>
      </c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true" outlineLevel="0" collapsed="false">
      <c r="A13" s="3" t="s">
        <v>90</v>
      </c>
      <c r="B13" s="4" t="s">
        <v>72</v>
      </c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true" outlineLevel="0" collapsed="false">
      <c r="A14" s="3" t="s">
        <v>92</v>
      </c>
      <c r="B14" s="4" t="s">
        <v>93</v>
      </c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true" outlineLevel="0" collapsed="false">
      <c r="A15" s="3" t="s">
        <v>95</v>
      </c>
      <c r="B15" s="4" t="s">
        <v>93</v>
      </c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true" outlineLevel="0" collapsed="false">
      <c r="A16" s="3" t="s">
        <v>97</v>
      </c>
      <c r="B16" s="4" t="s">
        <v>93</v>
      </c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true" outlineLevel="0" collapsed="false">
      <c r="A17" s="3" t="s">
        <v>99</v>
      </c>
      <c r="B17" s="4" t="s">
        <v>93</v>
      </c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true" outlineLevel="0" collapsed="false">
      <c r="A18" s="3" t="s">
        <v>101</v>
      </c>
      <c r="B18" s="4" t="s">
        <v>93</v>
      </c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true" outlineLevel="0" collapsed="false">
      <c r="A19" s="3" t="s">
        <v>103</v>
      </c>
      <c r="B19" s="4" t="s">
        <v>93</v>
      </c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true" outlineLevel="0" collapsed="false">
      <c r="A20" s="3" t="s">
        <v>105</v>
      </c>
      <c r="B20" s="4" t="s">
        <v>93</v>
      </c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true" outlineLevel="0" collapsed="false">
      <c r="A21" s="3" t="s">
        <v>107</v>
      </c>
      <c r="B21" s="4" t="s">
        <v>93</v>
      </c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true" outlineLevel="0" collapsed="false">
      <c r="A22" s="3" t="s">
        <v>109</v>
      </c>
      <c r="B22" s="4" t="s">
        <v>93</v>
      </c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true" outlineLevel="0" collapsed="false">
      <c r="A23" s="3" t="s">
        <v>111</v>
      </c>
      <c r="B23" s="4" t="s">
        <v>93</v>
      </c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true" outlineLevel="0" collapsed="false">
      <c r="A24" s="3" t="s">
        <v>113</v>
      </c>
      <c r="B24" s="4" t="s">
        <v>114</v>
      </c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true" outlineLevel="0" collapsed="false">
      <c r="A25" s="3" t="s">
        <v>116</v>
      </c>
      <c r="B25" s="4" t="s">
        <v>114</v>
      </c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" hidden="false" customHeight="true" outlineLevel="0" collapsed="false">
      <c r="A26" s="3" t="s">
        <v>118</v>
      </c>
      <c r="B26" s="4" t="s">
        <v>114</v>
      </c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" hidden="false" customHeight="true" outlineLevel="0" collapsed="false">
      <c r="A27" s="3" t="s">
        <v>120</v>
      </c>
      <c r="B27" s="4" t="s">
        <v>114</v>
      </c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true" outlineLevel="0" collapsed="false">
      <c r="A28" s="3" t="s">
        <v>122</v>
      </c>
      <c r="B28" s="4" t="s">
        <v>114</v>
      </c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true" outlineLevel="0" collapsed="false">
      <c r="A29" s="3" t="s">
        <v>124</v>
      </c>
      <c r="B29" s="4" t="s">
        <v>114</v>
      </c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true" outlineLevel="0" collapsed="false">
      <c r="A30" s="3" t="s">
        <v>126</v>
      </c>
      <c r="B30" s="4" t="s">
        <v>114</v>
      </c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" hidden="false" customHeight="true" outlineLevel="0" collapsed="false">
      <c r="A31" s="3" t="s">
        <v>128</v>
      </c>
      <c r="B31" s="4" t="s">
        <v>114</v>
      </c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" hidden="false" customHeight="true" outlineLevel="0" collapsed="false">
      <c r="A32" s="3" t="s">
        <v>130</v>
      </c>
      <c r="B32" s="4" t="s">
        <v>114</v>
      </c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" hidden="false" customHeight="true" outlineLevel="0" collapsed="false">
      <c r="A33" s="3" t="s">
        <v>132</v>
      </c>
      <c r="B33" s="4" t="s">
        <v>114</v>
      </c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" hidden="false" customHeight="true" outlineLevel="0" collapsed="false">
      <c r="A34" s="3" t="s">
        <v>134</v>
      </c>
      <c r="B34" s="4" t="s">
        <v>135</v>
      </c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3" t="s">
        <v>137</v>
      </c>
      <c r="B35" s="4" t="s">
        <v>135</v>
      </c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true" outlineLevel="0" collapsed="false">
      <c r="A36" s="3" t="s">
        <v>139</v>
      </c>
      <c r="B36" s="4" t="s">
        <v>135</v>
      </c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true" outlineLevel="0" collapsed="false">
      <c r="A37" s="3" t="s">
        <v>141</v>
      </c>
      <c r="B37" s="4" t="s">
        <v>135</v>
      </c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" hidden="false" customHeight="true" outlineLevel="0" collapsed="false">
      <c r="A38" s="3" t="s">
        <v>143</v>
      </c>
      <c r="B38" s="4" t="s">
        <v>135</v>
      </c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" hidden="false" customHeight="true" outlineLevel="0" collapsed="false">
      <c r="A39" s="3" t="s">
        <v>145</v>
      </c>
      <c r="B39" s="4" t="s">
        <v>135</v>
      </c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" hidden="false" customHeight="true" outlineLevel="0" collapsed="false">
      <c r="A40" s="3" t="s">
        <v>147</v>
      </c>
      <c r="B40" s="4" t="s">
        <v>135</v>
      </c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" hidden="false" customHeight="true" outlineLevel="0" collapsed="false">
      <c r="A41" s="3" t="s">
        <v>149</v>
      </c>
      <c r="B41" s="4" t="s">
        <v>135</v>
      </c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true" outlineLevel="0" collapsed="false">
      <c r="A42" s="3" t="s">
        <v>151</v>
      </c>
      <c r="B42" s="4" t="s">
        <v>135</v>
      </c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true" outlineLevel="0" collapsed="false">
      <c r="A43" s="3" t="s">
        <v>153</v>
      </c>
      <c r="B43" s="4" t="s">
        <v>135</v>
      </c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true" outlineLevel="0" collapsed="false">
      <c r="A44" s="3" t="s">
        <v>155</v>
      </c>
      <c r="B44" s="4" t="s">
        <v>156</v>
      </c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" hidden="false" customHeight="true" outlineLevel="0" collapsed="false">
      <c r="A45" s="3" t="s">
        <v>158</v>
      </c>
      <c r="B45" s="4" t="s">
        <v>156</v>
      </c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" hidden="false" customHeight="true" outlineLevel="0" collapsed="false">
      <c r="A46" s="3" t="s">
        <v>160</v>
      </c>
      <c r="B46" s="4" t="s">
        <v>156</v>
      </c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" hidden="false" customHeight="true" outlineLevel="0" collapsed="false">
      <c r="A47" s="3" t="s">
        <v>162</v>
      </c>
      <c r="B47" s="4" t="s">
        <v>156</v>
      </c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" hidden="false" customHeight="true" outlineLevel="0" collapsed="false">
      <c r="A48" s="3" t="s">
        <v>164</v>
      </c>
      <c r="B48" s="4" t="s">
        <v>156</v>
      </c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" hidden="false" customHeight="true" outlineLevel="0" collapsed="false">
      <c r="A49" s="3" t="s">
        <v>166</v>
      </c>
      <c r="B49" s="4" t="s">
        <v>156</v>
      </c>
      <c r="C49" s="9"/>
      <c r="D49" s="9"/>
      <c r="E49" s="9"/>
      <c r="F49" s="9"/>
      <c r="G49" s="9"/>
      <c r="H49" s="9"/>
      <c r="I49" s="9"/>
      <c r="J49" s="9"/>
      <c r="K49" s="9"/>
    </row>
    <row r="50" customFormat="false" ht="15" hidden="false" customHeight="true" outlineLevel="0" collapsed="false">
      <c r="A50" s="3" t="s">
        <v>168</v>
      </c>
      <c r="B50" s="4" t="s">
        <v>156</v>
      </c>
      <c r="C50" s="9"/>
      <c r="D50" s="9"/>
      <c r="E50" s="9"/>
      <c r="F50" s="9"/>
      <c r="G50" s="9"/>
      <c r="H50" s="9"/>
      <c r="I50" s="9"/>
      <c r="J50" s="9"/>
      <c r="K50" s="9"/>
    </row>
    <row r="51" customFormat="false" ht="15" hidden="false" customHeight="true" outlineLevel="0" collapsed="false">
      <c r="A51" s="3" t="s">
        <v>170</v>
      </c>
      <c r="B51" s="4" t="s">
        <v>156</v>
      </c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" hidden="false" customHeight="true" outlineLevel="0" collapsed="false">
      <c r="A52" s="3" t="s">
        <v>172</v>
      </c>
      <c r="B52" s="4" t="s">
        <v>156</v>
      </c>
      <c r="C52" s="9"/>
      <c r="D52" s="9"/>
      <c r="E52" s="9"/>
      <c r="F52" s="9"/>
      <c r="G52" s="9"/>
      <c r="H52" s="9"/>
      <c r="I52" s="9"/>
      <c r="J52" s="9"/>
      <c r="K52" s="9"/>
    </row>
    <row r="53" customFormat="false" ht="15" hidden="false" customHeight="true" outlineLevel="0" collapsed="false">
      <c r="A53" s="3" t="s">
        <v>174</v>
      </c>
      <c r="B53" s="4" t="s">
        <v>156</v>
      </c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true" outlineLevel="0" collapsed="false">
      <c r="A54" s="3" t="s">
        <v>176</v>
      </c>
      <c r="B54" s="4" t="s">
        <v>177</v>
      </c>
      <c r="C54" s="9"/>
      <c r="D54" s="9"/>
      <c r="E54" s="9"/>
      <c r="F54" s="9"/>
      <c r="G54" s="9"/>
      <c r="H54" s="9"/>
      <c r="I54" s="9"/>
      <c r="J54" s="9"/>
      <c r="K54" s="9"/>
    </row>
    <row r="55" customFormat="false" ht="15" hidden="false" customHeight="true" outlineLevel="0" collapsed="false">
      <c r="A55" s="3" t="s">
        <v>179</v>
      </c>
      <c r="B55" s="4" t="s">
        <v>177</v>
      </c>
      <c r="C55" s="9"/>
      <c r="D55" s="9"/>
      <c r="E55" s="9"/>
      <c r="F55" s="9"/>
      <c r="G55" s="9"/>
      <c r="H55" s="9"/>
      <c r="I55" s="9"/>
      <c r="J55" s="9"/>
      <c r="K55" s="9"/>
    </row>
    <row r="56" customFormat="false" ht="15" hidden="false" customHeight="true" outlineLevel="0" collapsed="false">
      <c r="A56" s="3" t="s">
        <v>181</v>
      </c>
      <c r="B56" s="4" t="s">
        <v>177</v>
      </c>
      <c r="C56" s="9"/>
      <c r="D56" s="9"/>
      <c r="E56" s="9"/>
      <c r="F56" s="9"/>
      <c r="G56" s="9"/>
      <c r="H56" s="9"/>
      <c r="I56" s="9"/>
      <c r="J56" s="9"/>
      <c r="K56" s="9"/>
    </row>
    <row r="57" customFormat="false" ht="15" hidden="false" customHeight="true" outlineLevel="0" collapsed="false">
      <c r="A57" s="3" t="s">
        <v>183</v>
      </c>
      <c r="B57" s="4" t="s">
        <v>177</v>
      </c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" hidden="false" customHeight="true" outlineLevel="0" collapsed="false">
      <c r="A58" s="3" t="s">
        <v>185</v>
      </c>
      <c r="B58" s="4" t="s">
        <v>177</v>
      </c>
      <c r="C58" s="9"/>
      <c r="D58" s="9"/>
      <c r="E58" s="9"/>
      <c r="F58" s="9"/>
      <c r="G58" s="9"/>
      <c r="H58" s="9"/>
      <c r="I58" s="9"/>
      <c r="J58" s="9"/>
      <c r="K58" s="9"/>
    </row>
    <row r="59" customFormat="false" ht="15" hidden="false" customHeight="true" outlineLevel="0" collapsed="false">
      <c r="A59" s="3" t="s">
        <v>187</v>
      </c>
      <c r="B59" s="4" t="s">
        <v>177</v>
      </c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true" outlineLevel="0" collapsed="false">
      <c r="A60" s="3" t="s">
        <v>189</v>
      </c>
      <c r="B60" s="4" t="s">
        <v>177</v>
      </c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" hidden="false" customHeight="true" outlineLevel="0" collapsed="false">
      <c r="A61" s="3" t="s">
        <v>191</v>
      </c>
      <c r="B61" s="4" t="s">
        <v>177</v>
      </c>
      <c r="C61" s="9"/>
      <c r="D61" s="9"/>
      <c r="E61" s="9"/>
      <c r="F61" s="9"/>
      <c r="G61" s="9"/>
      <c r="H61" s="9"/>
      <c r="I61" s="9"/>
      <c r="J61" s="9"/>
      <c r="K61" s="9"/>
    </row>
    <row r="62" customFormat="false" ht="15" hidden="false" customHeight="true" outlineLevel="0" collapsed="false">
      <c r="A62" s="3" t="s">
        <v>193</v>
      </c>
      <c r="B62" s="4" t="s">
        <v>177</v>
      </c>
      <c r="C62" s="9"/>
      <c r="D62" s="9"/>
      <c r="E62" s="9"/>
      <c r="F62" s="9"/>
      <c r="G62" s="9"/>
      <c r="H62" s="9"/>
      <c r="I62" s="9"/>
      <c r="J62" s="9"/>
      <c r="K62" s="9"/>
    </row>
    <row r="63" customFormat="false" ht="15" hidden="false" customHeight="true" outlineLevel="0" collapsed="false">
      <c r="A63" s="3" t="s">
        <v>195</v>
      </c>
      <c r="B63" s="4" t="s">
        <v>177</v>
      </c>
      <c r="C63" s="9"/>
      <c r="D63" s="9"/>
      <c r="E63" s="9"/>
      <c r="F63" s="9"/>
      <c r="G63" s="9"/>
      <c r="H63" s="9"/>
      <c r="I63" s="9"/>
      <c r="J63" s="9"/>
      <c r="K63" s="9"/>
    </row>
    <row r="65" customFormat="false" ht="15" hidden="false" customHeight="false" outlineLevel="0" collapsed="false">
      <c r="A65" s="8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5" t="s">
        <v>286</v>
      </c>
    </row>
    <row r="3" customFormat="false" ht="30" hidden="false" customHeight="true" outlineLevel="0" collapsed="false">
      <c r="A3" s="6" t="s">
        <v>287</v>
      </c>
      <c r="B3" s="6" t="s">
        <v>288</v>
      </c>
      <c r="C3" s="6" t="s">
        <v>289</v>
      </c>
      <c r="D3" s="6" t="s">
        <v>290</v>
      </c>
      <c r="E3" s="6" t="s">
        <v>291</v>
      </c>
      <c r="F3" s="6" t="s">
        <v>292</v>
      </c>
    </row>
    <row r="4" customFormat="false" ht="15" hidden="false" customHeight="false" outlineLevel="0" collapsed="false">
      <c r="A4" s="3" t="s">
        <v>293</v>
      </c>
      <c r="B4" s="4" t="n">
        <v>10</v>
      </c>
      <c r="C4" s="9"/>
      <c r="D4" s="9"/>
      <c r="E4" s="9"/>
      <c r="F4" s="9"/>
    </row>
    <row r="5" customFormat="false" ht="15" hidden="false" customHeight="false" outlineLevel="0" collapsed="false">
      <c r="A5" s="3" t="s">
        <v>294</v>
      </c>
      <c r="B5" s="4" t="n">
        <v>10</v>
      </c>
      <c r="C5" s="9"/>
      <c r="D5" s="9"/>
      <c r="E5" s="9"/>
      <c r="F5" s="9"/>
    </row>
    <row r="6" customFormat="false" ht="15" hidden="false" customHeight="false" outlineLevel="0" collapsed="false">
      <c r="A6" s="3" t="s">
        <v>295</v>
      </c>
      <c r="B6" s="4" t="n">
        <v>10</v>
      </c>
      <c r="C6" s="9"/>
      <c r="D6" s="9"/>
      <c r="E6" s="9"/>
      <c r="F6" s="9"/>
    </row>
    <row r="7" customFormat="false" ht="15" hidden="false" customHeight="false" outlineLevel="0" collapsed="false">
      <c r="A7" s="3" t="s">
        <v>296</v>
      </c>
      <c r="B7" s="4" t="n">
        <v>10</v>
      </c>
      <c r="C7" s="9"/>
      <c r="D7" s="9"/>
      <c r="E7" s="9"/>
      <c r="F7" s="9"/>
    </row>
    <row r="8" customFormat="false" ht="15" hidden="false" customHeight="false" outlineLevel="0" collapsed="false">
      <c r="A8" s="3" t="s">
        <v>297</v>
      </c>
      <c r="B8" s="4" t="n">
        <v>10</v>
      </c>
      <c r="C8" s="9"/>
      <c r="D8" s="9"/>
      <c r="E8" s="9"/>
      <c r="F8" s="9"/>
    </row>
    <row r="9" customFormat="false" ht="15" hidden="false" customHeight="false" outlineLevel="0" collapsed="false">
      <c r="A9" s="3" t="s">
        <v>298</v>
      </c>
      <c r="B9" s="4" t="n">
        <v>10</v>
      </c>
      <c r="C9" s="9"/>
      <c r="D9" s="9"/>
      <c r="E9" s="9"/>
      <c r="F9" s="9"/>
    </row>
    <row r="11" customFormat="false" ht="15" hidden="false" customHeight="false" outlineLevel="0" collapsed="false">
      <c r="A11" s="8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2026-05-23T22:24:40Z</dcterms:created>
  <dc:creator>openpyxl</dc:creator>
  <dc:description/>
  <dc:language>en-US</dc:language>
  <cp:lastModifiedBy/>
  <dcterms:modified xsi:type="dcterms:W3CDTF">2026-05-23T22:24:40Z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